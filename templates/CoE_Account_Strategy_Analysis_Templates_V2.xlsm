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templates/"/>
    </mc:Choice>
  </mc:AlternateContent>
  <xr:revisionPtr revIDLastSave="375" documentId="11_39E595EC1E5F31F8AEB6CE64D2F17AA603E359F1" xr6:coauthVersionLast="47" xr6:coauthVersionMax="47" xr10:uidLastSave="{A78A80CC-5B79-4F35-A293-CBC39CEEB8A4}"/>
  <bookViews>
    <workbookView xWindow="-28920" yWindow="-15" windowWidth="29040" windowHeight="15720" activeTab="1"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l="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<sst xmlns="http://schemas.openxmlformats.org/spreadsheetml/2006/main" count="1875" uniqueCount="1308">
  <si>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</si>
  <si>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</si>
  <si>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</si>
  <si>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</si>
  <si>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</si>
  <si>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</si>
  <si>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</si>
  <si>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</si>
  <si>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</si>
  <si>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</si>
  <si>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</si>
  <si>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</si>
  <si>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</si>
  <si>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</si>
  <si>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</si>
  <si>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</si>
  <si>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</si>
  <si>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</si>
  <si>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</si>
  <si>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</si>
  <si>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</si>
  <si>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</si>
  <si>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</si>
  <si>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</si>
  <si>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</si>
  <si>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</si>
  <si>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</si>
  <si>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</si>
  <si>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</si>
  <si>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</si>
  <si>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</si>
  <si>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</si>
  <si>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</si>
  <si>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</si>
  <si>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</si>
  <si>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</si>
  <si>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</si>
  <si>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</si>
  <si>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</si>
  <si>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</si>
  <si>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</si>
  <si>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</si>
  <si>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</si>
  <si>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</si>
  <si>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</si>
  <si>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</si>
  <si>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</si>
  <si>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</si>
  <si>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</si>
  <si>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</si>
  <si>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</si>
  <si>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</si>
  <si>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</si>
  <si>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</si>
  <si>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</si>
  <si>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</si>
  <si>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</si>
  <si>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</si>
  <si>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</si>
  <si>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</si>
  <si>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</si>
  <si>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</si>
  <si>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</si>
  <si>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</si>
  <si>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</si>
  <si>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</si>
  <si>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</si>
  <si>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</si>
  <si>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</si>
  <si>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</si>
  <si>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</si>
  <si>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</si>
  <si>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</si>
  <si>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</si>
  <si>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</si>
  <si>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</si>
  <si>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</si>
  <si>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</si>
  <si>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</si>
  <si>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</si>
  <si>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</si>
  <si>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</si>
  <si>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</si>
  <si>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</si>
  <si>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</si>
  <si>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</si>
  <si>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</si>
  <si>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</si>
  <si>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</si>
  <si>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</si>
  <si>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</si>
  <si>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</si>
  <si>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</si>
  <si>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</si>
  <si>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</si>
  <si>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</si>
  <si>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</si>
  <si>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</si>
  <si>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</si>
  <si>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</si>
  <si>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</si>
  <si>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</si>
  <si>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</si>
  <si>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</si>
  <si>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</si>
  <si>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</si>
  <si>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</si>
  <si>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</si>
  <si>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</si>
  <si>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</si>
  <si>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</si>
  <si>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</si>
  <si>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</si>
  <si>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</si>
  <si>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</si>
  <si>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</si>
  <si>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</si>
  <si>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</si>
  <si>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</si>
  <si>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</si>
  <si>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</si>
  <si>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</si>
  <si>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</si>
  <si>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</si>
  <si>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</si>
  <si>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</si>
  <si>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</si>
  <si>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</si>
  <si>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</si>
  <si>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</si>
  <si>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</si>
  <si>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</si>
  <si>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</si>
  <si>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</si>
  <si>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</si>
  <si>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</si>
  <si>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</si>
  <si>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</si>
  <si>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</si>
  <si>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</si>
  <si>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</si>
  <si>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</si>
  <si>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</si>
  <si>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</si>
  <si>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</si>
  <si>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</si>
  <si>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</si>
  <si>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</si>
  <si>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</si>
  <si>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</si>
  <si>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</si>
  <si>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</si>
  <si>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</si>
  <si>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</si>
  <si>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</si>
  <si>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</si>
  <si>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</si>
  <si>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</si>
  <si>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</si>
  <si>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</si>
  <si>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</si>
  <si>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</si>
  <si>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</si>
  <si>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</si>
  <si>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</si>
  <si>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</si>
  <si>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</si>
  <si>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</si>
  <si>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</si>
  <si>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</si>
  <si>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</si>
  <si>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</si>
  <si>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</si>
  <si>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</si>
  <si>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</si>
  <si>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</si>
  <si>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</si>
  <si>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</si>
  <si>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</si>
  <si>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</si>
  <si>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</si>
  <si>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</si>
  <si>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</si>
  <si>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</si>
  <si>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</si>
  <si>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</si>
  <si>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</si>
  <si>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</si>
  <si>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</si>
  <si>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</si>
  <si>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</si>
  <si>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</si>
  <si>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</si>
  <si>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</si>
  <si>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</si>
  <si>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</si>
  <si>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</si>
  <si>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</si>
  <si>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</si>
  <si>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</si>
  <si>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</si>
  <si>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</si>
  <si>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</si>
  <si>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</si>
  <si>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</si>
  <si>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</si>
  <si>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</si>
  <si>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</si>
  <si>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</si>
  <si>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</si>
  <si>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</si>
  <si>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</si>
  <si>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</si>
  <si>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</si>
  <si>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</si>
  <si>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</si>
  <si>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</si>
  <si>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</si>
  <si>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</si>
  <si>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</si>
  <si>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</si>
  <si>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</si>
  <si>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</si>
  <si>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</si>
  <si>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</si>
  <si>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</si>
  <si>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</si>
  <si>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</si>
  <si>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</si>
  <si>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</si>
  <si>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</si>
  <si>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</si>
  <si>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</si>
  <si>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</si>
  <si>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</si>
  <si>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</si>
  <si>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</si>
  <si>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</si>
  <si>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</si>
  <si>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</si>
  <si>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</si>
  <si>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</si>
  <si>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Revisit SPT campaigns - Remove slow movers from the ADS on SPT campaign - Make sure we have all the portfolio on Targets</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</si>
  <si>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</si>
  <si>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</si>
  <si>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</si>
  <si>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</si>
  <si>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</si>
  <si>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</si>
  <si>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</si>
  <si>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</si>
  <si>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</si>
  <si>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</si>
  <si>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</si>
  <si>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</si>
  <si>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</si>
  <si>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</si>
  <si>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</si>
  <si>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</si>
  <si>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</si>
  <si>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</si>
  <si>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</si>
  <si>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</si>
  <si>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</si>
  <si>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</si>
  <si>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</si>
  <si>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</si>
  <si>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</si>
  <si>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</si>
  <si>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</si>
  <si>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</si>
  <si>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</si>
  <si>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</si>
  <si>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</si>
  <si>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</si>
  <si>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</si>
  <si>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</si>
  <si>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</si>
  <si>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</si>
  <si>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</si>
  <si>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</si>
  <si>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</si>
  <si>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</si>
  <si>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</si>
  <si>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</si>
  <si>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</si>
  <si>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</si>
  <si>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</si>
  <si>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</si>
  <si>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</si>
  <si>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</si>
  <si>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</si>
  <si>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</si>
  <si>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</si>
  <si>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</si>
  <si>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</si>
  <si>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</si>
  <si>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</si>
  <si>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</si>
  <si>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</si>
  <si>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</si>
  <si>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</si>
  <si>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</si>
  <si>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</si>
  <si>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</si>
  <si>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</si>
  <si>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</si>
  <si>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</si>
  <si>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</si>
  <si>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</si>
  <si>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</si>
  <si>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</si>
  <si>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</si>
  <si>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</si>
  <si>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</si>
  <si>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</si>
  <si>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</si>
  <si>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</si>
  <si>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</si>
  <si>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</si>
  <si>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</si>
  <si>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</si>
  <si>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</si>
  <si>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</si>
  <si>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</si>
  <si>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</si>
  <si>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</si>
  <si>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</si>
  <si>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</si>
  <si>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</si>
  <si>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</si>
  <si>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</si>
  <si>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</si>
  <si>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</si>
  <si>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</si>
  <si>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</si>
  <si>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</si>
  <si>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</si>
  <si>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</si>
  <si>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</si>
  <si>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</si>
  <si>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</si>
  <si>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</si>
  <si>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</si>
  <si>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</si>
  <si>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</si>
  <si>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</si>
  <si>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</si>
  <si>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</si>
  <si>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</si>
  <si>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</si>
  <si>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</si>
  <si>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</si>
  <si>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</si>
  <si>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</si>
  <si>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</si>
  <si>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</si>
  <si>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</si>
  <si>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</si>
  <si>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</si>
  <si>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</si>
  <si>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</si>
  <si>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</si>
  <si>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</si>
  <si>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</si>
  <si>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</si>
  <si>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</si>
  <si>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</si>
  <si>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</si>
  <si>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</si>
  <si>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</si>
  <si>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</si>
  <si>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</si>
  <si>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</si>
  <si>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</si>
  <si>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</si>
  <si>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</si>
  <si>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</si>
  <si>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</si>
  <si>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</si>
  <si>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</si>
  <si>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</si>
  <si>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</si>
  <si>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</si>
  <si>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</si>
  <si>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</si>
  <si>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</si>
  <si>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</si>
  <si>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</si>
  <si>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</si>
  <si>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</si>
  <si>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</si>
  <si>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</si>
  <si>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</si>
  <si>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</si>
  <si>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</si>
  <si>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</si>
  <si>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</si>
  <si>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</si>
  <si>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</si>
  <si>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</si>
  <si>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</si>
  <si>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</si>
  <si>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</si>
  <si>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</si>
  <si>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</si>
  <si>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</si>
  <si>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</si>
  <si>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</si>
  <si>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</si>
  <si>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</si>
  <si>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</si>
  <si>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</si>
  <si>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</si>
  <si>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</si>
  <si>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</si>
  <si>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</si>
  <si>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</si>
  <si>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</si>
  <si>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</si>
  <si>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</si>
  <si>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</si>
  <si>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</si>
  <si>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</si>
  <si>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</si>
  <si>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</si>
  <si>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</si>
  <si>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</si>
  <si>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</si>
  <si>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</si>
  <si>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</si>
  <si>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</si>
  <si>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</si>
  <si>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</si>
  <si>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</si>
  <si>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</si>
  <si>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</si>
  <si>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</si>
  <si>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</si>
  <si>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</si>
  <si>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</si>
  <si>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</si>
  <si>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</si>
  <si>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</si>
  <si>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</si>
  <si>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</si>
  <si>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</si>
  <si>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</si>
  <si>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</si>
  <si>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</si>
  <si>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</si>
  <si>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</si>
  <si>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</si>
  <si>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</si>
  <si>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</si>
  <si>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</si>
  <si>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</si>
  <si>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</si>
  <si>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</si>
  <si>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</si>
  <si>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</si>
  <si>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</si>
  <si>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</si>
  <si>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</si>
  <si>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</si>
  <si>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</si>
  <si>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</si>
  <si>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</si>
  <si>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</si>
  <si>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</si>
  <si>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</si>
  <si>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</si>
  <si>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</si>
  <si>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</si>
  <si>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</si>
  <si>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</si>
  <si>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</si>
  <si>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</si>
  <si>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</si>
  <si>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</si>
  <si>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</si>
  <si>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</si>
  <si>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</si>
  <si>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</si>
  <si>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</si>
  <si>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</si>
  <si>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</si>
  <si>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</si>
  <si>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</si>
  <si>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</si>
  <si>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</si>
  <si>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</si>
  <si>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</si>
  <si>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</si>
  <si>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</si>
  <si>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</si>
  <si>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</si>
  <si>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</si>
  <si>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</si>
  <si>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</si>
  <si>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</si>
  <si>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</si>
  <si>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</si>
  <si>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</si>
  <si>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</si>
  <si>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</si>
  <si>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</si>
  <si>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</si>
  <si>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</si>
  <si>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</si>
  <si>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</si>
  <si>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</si>
  <si>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</si>
  <si>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</si>
  <si>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</si>
  <si>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</si>
  <si>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</si>
  <si>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</si>
  <si>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</si>
  <si>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</si>
  <si>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</si>
  <si>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</si>
  <si>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</si>
  <si>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</si>
  <si>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</si>
  <si>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</si>
  <si>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</si>
  <si>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</si>
  <si>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</si>
  <si>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</si>
  <si>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</si>
  <si>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</si>
  <si>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</si>
  <si>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</si>
  <si>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</si>
  <si>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</si>
  <si>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</si>
  <si>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</si>
  <si>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</si>
  <si>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</si>
  <si>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</si>
  <si>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</si>
  <si>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</si>
  <si>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</si>
  <si>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</si>
  <si>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</si>
  <si>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</si>
  <si>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</si>
  <si>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</si>
  <si>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</si>
  <si>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</si>
  <si>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</si>
  <si>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</si>
  <si>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</si>
  <si>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</si>
  <si>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</si>
  <si>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</si>
  <si>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</si>
  <si>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</si>
  <si>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</si>
  <si>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</si>
  <si>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</si>
  <si>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</si>
  <si>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</si>
  <si>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</si>
  <si>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</si>
  <si>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</si>
  <si>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</si>
  <si>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</si>
  <si>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</si>
  <si>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</si>
  <si>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</si>
  <si>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</si>
  <si>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</si>
  <si>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</si>
  <si>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</si>
  <si>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</si>
  <si>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</si>
  <si>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</si>
  <si>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</si>
  <si>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</si>
  <si>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</si>
  <si>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</si>
  <si>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</si>
  <si>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</si>
  <si>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</si>
  <si>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</si>
  <si>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</si>
  <si>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</si>
  <si>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</si>
  <si>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</si>
  <si>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</si>
  <si>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</si>
  <si>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</si>
  <si>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</si>
  <si>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</si>
  <si>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</si>
  <si>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</si>
  <si>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</si>
  <si>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</si>
  <si>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</si>
  <si>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</si>
  <si>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</si>
  <si>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</si>
  <si>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</si>
  <si>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</si>
  <si>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</si>
  <si>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</si>
  <si>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</si>
  <si>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</si>
  <si>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</si>
  <si>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</si>
  <si>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</si>
  <si>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</si>
  <si>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</si>
  <si>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</si>
  <si>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</si>
  <si>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</si>
  <si>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</si>
  <si>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</si>
  <si>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</si>
  <si>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</si>
  <si>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</si>
  <si>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</si>
  <si>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</si>
  <si>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</si>
  <si>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</si>
  <si>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</si>
  <si>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</si>
  <si>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</si>
  <si>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</si>
  <si>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</si>
  <si>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</si>
  <si>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</si>
  <si>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</si>
  <si>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</si>
  <si>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</si>
  <si>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</si>
  <si>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</si>
  <si>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</si>
  <si>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</si>
  <si>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</si>
  <si>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</si>
  <si>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</si>
  <si>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</si>
  <si>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</si>
  <si>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</si>
  <si>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</si>
  <si>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</si>
  <si>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</si>
  <si>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</si>
  <si>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</si>
  <si>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</si>
  <si>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</si>
  <si>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</si>
  <si>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</si>
  <si>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</si>
  <si>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</si>
  <si>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</si>
  <si>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</si>
  <si>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</si>
  <si>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</si>
  <si>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</si>
  <si>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</si>
  <si>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</si>
  <si>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</si>
  <si>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</si>
  <si>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</si>
  <si>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</si>
  <si>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</si>
  <si>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</si>
  <si>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</si>
  <si>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</si>
  <si>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</si>
  <si>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</si>
  <si>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</si>
  <si>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</si>
  <si>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</si>
  <si>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</si>
  <si>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</si>
  <si>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</si>
  <si>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</si>
  <si>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</si>
  <si>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</si>
  <si>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</si>
  <si>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</si>
  <si>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</si>
  <si>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</si>
  <si>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</si>
  <si>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</si>
  <si>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</si>
  <si>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</si>
  <si>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</si>
  <si>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</si>
  <si>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</si>
  <si>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</si>
  <si>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</si>
  <si>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</si>
  <si>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</si>
  <si>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</si>
  <si>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</si>
  <si>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</si>
  <si>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</si>
  <si>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</si>
  <si>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</si>
  <si>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</si>
  <si>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</si>
  <si>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</si>
  <si>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</si>
  <si>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</si>
  <si>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</si>
  <si>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</si>
  <si>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</si>
  <si>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</si>
  <si>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</si>
  <si>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</si>
  <si>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</si>
  <si>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</si>
  <si>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</si>
  <si>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</si>
  <si>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</si>
  <si>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</si>
  <si>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</si>
  <si>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</si>
  <si>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</si>
  <si>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</si>
  <si>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</si>
  <si>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</si>
  <si>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</si>
  <si>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</si>
  <si>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</si>
  <si>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</si>
  <si>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</si>
  <si>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</si>
  <si>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</si>
  <si>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</si>
  <si>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</si>
  <si>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</si>
  <si>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</si>
  <si>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</si>
  <si>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</si>
  <si>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</si>
  <si>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</si>
  <si>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</si>
  <si>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</si>
  <si>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</si>
  <si>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</si>
  <si>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</si>
  <si>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</si>
  <si>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</si>
  <si>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</si>
  <si>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</si>
  <si>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</si>
  <si>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</si>
  <si>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</si>
  <si>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</si>
  <si>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</si>
  <si>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</si>
  <si>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</si>
  <si>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</si>
  <si>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</si>
  <si>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</si>
  <si>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</si>
  <si>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</si>
  <si>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</si>
  <si>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</si>
  <si>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</si>
  <si>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</si>
  <si>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</si>
  <si>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</si>
  <si>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</si>
  <si>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</si>
  <si>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</si>
  <si>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</si>
  <si>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</si>
  <si>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</si>
  <si>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</si>
  <si>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</si>
  <si>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</si>
  <si>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</si>
  <si>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</si>
  <si>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</si>
  <si>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</si>
  <si>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</si>
  <si>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</si>
  <si>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</si>
  <si>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</si>
  <si>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</si>
  <si>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</si>
  <si>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</si>
  <si>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</si>
  <si>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</si>
  <si>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</si>
  <si>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</si>
  <si>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</si>
  <si>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</si>
  <si>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</si>
  <si>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</si>
  <si>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</si>
  <si>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</si>
  <si>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</si>
  <si>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</si>
  <si>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</si>
  <si>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</si>
  <si>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</si>
  <si>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</si>
  <si>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</si>
  <si>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</si>
  <si>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</si>
  <si>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</si>
  <si>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</si>
  <si>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</si>
  <si>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</si>
  <si>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</si>
  <si>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</si>
  <si>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</si>
  <si>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</si>
  <si>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</si>
  <si>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</si>
  <si>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</si>
  <si>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</si>
  <si>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</si>
  <si>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</si>
  <si>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</si>
  <si>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</si>
  <si>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</si>
  <si>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</si>
  <si>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</si>
  <si>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</si>
  <si>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</si>
  <si>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</si>
  <si>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</si>
  <si>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</si>
  <si>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</si>
  <si>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</si>
  <si>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</si>
  <si>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</si>
  <si>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</si>
  <si>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</si>
  <si>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</si>
  <si>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</si>
  <si>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</si>
  <si>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</si>
  <si>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</si>
  <si>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</si>
  <si>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</si>
  <si>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</si>
  <si>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</si>
  <si>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</si>
  <si>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</si>
  <si>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</si>
  <si>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</si>
  <si>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</si>
  <si>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</si>
  <si>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</si>
  <si>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</si>
  <si>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</si>
  <si>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</si>
  <si>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</si>
  <si>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</si>
  <si>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</si>
  <si>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</si>
  <si>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</si>
  <si>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</si>
  <si>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</si>
  <si>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</si>
  <si>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</si>
  <si>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</si>
  <si>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</si>
  <si>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</si>
  <si>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</si>
  <si>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</si>
  <si>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</si>
  <si>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</si>
  <si>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</si>
  <si>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</si>
  <si>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</si>
  <si>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</si>
  <si>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</si>
  <si>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</si>
  <si>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</si>
  <si>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</si>
  <si>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</si>
  <si>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</si>
  <si>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</si>
  <si>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</si>
  <si>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</si>
  <si>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</si>
  <si>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</si>
  <si>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</si>
  <si>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</si>
  <si>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</si>
  <si>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</si>
  <si>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</si>
  <si>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</si>
  <si>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</si>
  <si>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</si>
  <si>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</si>
  <si>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</si>
  <si>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</si>
  <si>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</si>
  <si>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</si>
  <si>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</si>
  <si>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</si>
  <si>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</si>
  <si>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</si>
  <si>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</si>
  <si>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</si>
  <si>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</si>
  <si>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</si>
  <si>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</si>
  <si>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</si>
  <si>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</si>
  <si>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</si>
  <si>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</si>
  <si>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</si>
  <si>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</si>
  <si>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</si>
  <si>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</si>
  <si>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</si>
  <si>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</si>
  <si>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</si>
  <si>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</si>
  <si>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</si>
  <si>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</si>
  <si>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</si>
  <si>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</si>
  <si>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</si>
  <si>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</si>
  <si>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</si>
  <si>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</si>
  <si>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</si>
  <si>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</si>
  <si>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</si>
  <si>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</si>
  <si>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</si>
  <si>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</si>
  <si>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</si>
  <si>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</si>
  <si>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</si>
  <si>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</si>
  <si>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</si>
  <si>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</si>
  <si>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</si>
  <si>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</si>
  <si>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</si>
  <si>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</si>
  <si>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</si>
  <si>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</si>
  <si>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</si>
  <si>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</si>
  <si>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</si>
  <si>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</si>
  <si>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</si>
  <si>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</si>
  <si>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</si>
  <si>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</si>
  <si>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</si>
  <si>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</si>
  <si>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</si>
  <si>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</si>
  <si>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</si>
  <si>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</si>
  <si>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</si>
  <si>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</si>
  <si>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</si>
  <si>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</si>
  <si>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</si>
  <si>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</si>
  <si>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</si>
  <si>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</si>
  <si>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</si>
  <si>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</si>
  <si>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</si>
  <si>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</si>
  <si>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</si>
  <si>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</si>
  <si>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</si>
  <si>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</si>
  <si>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</si>
  <si>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</si>
  <si>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</si>
  <si>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</si>
  <si>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</si>
  <si>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</si>
  <si>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</si>
  <si>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</si>
  <si>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</si>
  <si>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</si>
  <si>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</si>
  <si>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</si>
  <si>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</si>
  <si>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</si>
  <si>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</si>
  <si>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</si>
  <si>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</si>
  <si>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</si>
  <si>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</si>
  <si>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</si>
  <si>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</si>
  <si>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</si>
  <si>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</si>
  <si>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</si>
  <si>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</si>
  <si>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</si>
  <si>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</si>
  <si>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</si>
  <si>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</si>
  <si>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</si>
  <si>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</si>
  <si>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</si>
  <si>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</si>
  <si>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</si>
  <si>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</si>
  <si>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</si>
  <si>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</si>
  <si>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</si>
  <si>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</si>
  <si>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</si>
  <si>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</si>
  <si>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</si>
  <si>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</si>
  <si>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</si>
  <si>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</si>
  <si>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</si>
  <si>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</si>
  <si>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</si>
  <si>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</si>
  <si>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</si>
  <si>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</si>
  <si>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</si>
  <si>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</si>
  <si>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</si>
  <si>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</si>
  <si>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</si>
  <si>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</si>
  <si>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</si>
  <si>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</si>
  <si>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</si>
  <si>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</si>
  <si>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</si>
  <si>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</si>
  <si>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</si>
  <si>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</si>
  <si>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</si>
  <si>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</si>
  <si>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</si>
  <si>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</si>
  <si>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</si>
  <si>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</si>
  <si>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</si>
  <si>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</si>
  <si>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</si>
  <si>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</si>
  <si>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</si>
  <si>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</si>
  <si>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</si>
  <si>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</si>
  <si>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</si>
  <si>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</si>
  <si>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</si>
  <si>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</si>
  <si>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</si>
  <si>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</si>
  <si>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</si>
  <si>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</si>
  <si>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</si>
  <si>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</si>
  <si>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</si>
  <si>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</si>
  <si>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</si>
  <si>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</si>
  <si>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</si>
  <si>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</si>
  <si>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</si>
  <si>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</si>
  <si>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</si>
  <si>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</si>
  <si>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</si>
  <si>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</si>
  <si>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</si>
  <si>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</si>
  <si>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</si>
  <si>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</si>
  <si>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</si>
  <si>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</si>
  <si>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</si>
  <si>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</si>
  <si>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</si>
  <si>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</si>
  <si>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</si>
  <si>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</si>
  <si>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</si>
  <si>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</si>
  <si>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</si>
  <si>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</si>
  <si>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</si>
  <si>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</si>
  <si>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</si>
  <si>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</si>
  <si>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</si>
  <si>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</si>
  <si>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</si>
  <si>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</si>
  <si>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</si>
  <si>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</si>
  <si>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</si>
  <si>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</si>
  <si>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</si>
  <si>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</si>
  <si>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</si>
  <si>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</si>
  <si>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</si>
  <si>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</si>
  <si>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</si>
  <si>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</si>
  <si>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</si>
  <si>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</si>
  <si>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</si>
  <si>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</si>
  <si>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</si>
  <si>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</si>
  <si>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</si>
  <si>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</si>
  <si>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</si>
  <si>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</si>
  <si>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</si>
  <si>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</si>
  <si>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</si>
  <si>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</si>
  <si>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</si>
  <si>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</si>
  <si>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</si>
  <si>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</si>
  <si>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</si>
  <si>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</si>
  <si>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</si>
  <si>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</si>
  <si>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</si>
  <si>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</si>
  <si>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</si>
  <si>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</si>
  <si>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</si>
  <si>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</si>
  <si>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</si>
  <si>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</si>
  <si>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</si>
  <si>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</si>
  <si>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</si>
  <si>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</si>
  <si>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</si>
  <si>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</si>
  <si>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</si>
  <si>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</si>
  <si>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</si>
  <si>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</si>
  <si>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</si>
  <si>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</si>
  <si>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</si>
  <si>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</si>
  <si>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</si>
  <si>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</si>
  <si>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</si>
  <si>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</si>
  <si>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</si>
  <si>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</si>
  <si>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</si>
  <si>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</si>
  <si>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</si>
  <si>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</si>
  <si>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</si>
  <si>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</si>
  <si>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</si>
  <si>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</si>
  <si>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</si>
  <si>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</si>
  <si>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</si>
  <si>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</si>
  <si>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</si>
  <si>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</si>
  <si>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</si>
  <si>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</si>
  <si>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</si>
  <si>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</si>
  <si>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</si>
  <si>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</si>
  <si>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</si>
  <si>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</si>
  <si>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</si>
  <si>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</si>
  <si>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</si>
  <si>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</si>
  <si>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</si>
  <si>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</si>
  <si>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</si>
  <si>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</si>
  <si>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</si>
  <si>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</si>
  <si>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</si>
  <si>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</si>
  <si>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</si>
  <si>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</si>
  <si>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</si>
  <si>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</si>
  <si>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</si>
  <si>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</si>
  <si>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</si>
  <si>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</si>
  <si>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</si>
  <si>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</si>
  <si>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</si>
  <si>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</si>
  <si>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</si>
  <si>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</si>
  <si>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</si>
  <si>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</si>
  <si>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</si>
  <si>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</si>
  <si>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</si>
  <si>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</si>
  <si>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</si>
  <si>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</si>
  <si>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</si>
  <si>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</si>
  <si>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</si>
  <si>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</si>
  <si>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</si>
  <si>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</si>
  <si>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</si>
  <si>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</si>
  <si>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</si>
  <si>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</si>
  <si>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</si>
  <si>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</si>
  <si>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</si>
  <si>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</si>
  <si>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</si>
  <si>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</si>
  <si>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</si>
  <si>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</si>
  <si>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</si>
  <si>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</si>
  <si>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</si>
  <si>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</si>
  <si>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</si>
  <si>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</si>
  <si>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</si>
  <si>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</si>
  <si>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</si>
  <si>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</si>
  <si>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</si>
  <si>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</si>
  <si>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</si>
  <si>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</si>
  <si>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</si>
  <si>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</si>
  <si>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</si>
  <si>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</si>
  <si>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</si>
  <si>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</si>
  <si>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</si>
  <si>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</si>
  <si>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</si>
  <si>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</si>
  <si>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</si>
  <si>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</si>
  <si>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</si>
  <si>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</si>
  <si>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</si>
  <si>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</si>
  <si>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</si>
  <si>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</si>
  <si>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</si>
  <si>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</si>
  <si>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</si>
  <si>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</si>
  <si>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</si>
  <si>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</si>
  <si>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</si>
  <si>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</si>
  <si>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</si>
  <si>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</si>
  <si>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</si>
  <si>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</si>
  <si>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</si>
  <si>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</si>
  <si>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</si>
  <si>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</si>
  <si>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</si>
  <si>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</si>
  <si>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</si>
  <si>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</si>
  <si>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</si>
  <si>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</si>
  <si>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</si>
  <si>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</si>
  <si>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Source: tab 08 (campaign-level ACoS) + tab 38 (constraint)</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</si>
  <si>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Source: tab 08 (campaign-level ACoS) + tab 38 (constraint)</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</si>
  <si>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Source: tab 08 (campaign-level ACoS) + tab 38 (constraint)</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</si>
  <si>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</si>
  <si>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</si>
  <si>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</si>
  <si>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</si>
  <si>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</si>
  <si>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SB &gt; 10% of total spend AND ACoS below constraint AND no SBV
OK: SBV active, SB ≤ 10% of spend, or ACoS above constraint
Source: tab 10 (pct_sb, spend_sbv) + tab 38 (constraint)</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</si>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</sst>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9">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31"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31" fillId="36" borderId="1" xfId="0" applyFont="1" applyFill="1" applyBorder="1" applyAlignment="1">
      <alignment horizontal="left" vertical="top" wrapText="1"/>
    </xf>
    <xf numFmtId="0" fontId="31" fillId="33" borderId="1" xfId="0" applyFont="1" applyFill="1" applyBorder="1" applyAlignment="1">
      <alignment horizontal="left" vertical="top" wrapText="1"/>
    </xf>
    <xf numFmtId="0" fontId="0" fillId="33" borderId="0" xfId="0" applyFill="1"/>
    <xf numFmtId="0" fontId="31" fillId="5" borderId="1" xfId="0" applyFont="1" applyFill="1" applyBorder="1" applyAlignment="1">
      <alignment horizontal="left" vertical="top" wrapText="1"/>
    </xf>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vertical="top"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15" fillId="5" borderId="1" xfId="0" applyFont="1" applyFill="1" applyBorder="1" applyAlignment="1">
      <alignment horizontal="center" vertical="center"/>
    </xf>
    <xf numFmtId="0" fontId="0" fillId="0" borderId="7" xfId="0" applyBorder="1"/>
    <xf numFmtId="166" fontId="15" fillId="5" borderId="37" xfId="0" applyNumberFormat="1" applyFont="1" applyFill="1" applyBorder="1" applyAlignment="1">
      <alignment horizontal="left" vertical="center" wrapText="1"/>
    </xf>
    <xf numFmtId="0" fontId="0" fillId="0" borderId="50"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16" fillId="12" borderId="28" xfId="0" applyFont="1" applyFill="1" applyBorder="1" applyAlignment="1">
      <alignment horizontal="left" vertical="center"/>
    </xf>
    <xf numFmtId="0" fontId="0" fillId="0" borderId="24" xfId="0" applyBorder="1"/>
    <xf numFmtId="0" fontId="15" fillId="5" borderId="52" xfId="0" applyFont="1" applyFill="1" applyBorder="1" applyAlignment="1">
      <alignment horizontal="left" vertical="center" wrapText="1"/>
    </xf>
    <xf numFmtId="0" fontId="0" fillId="0" borderId="53" xfId="0" applyBorder="1"/>
    <xf numFmtId="0" fontId="15" fillId="5" borderId="16" xfId="0" applyFont="1" applyFill="1" applyBorder="1" applyAlignment="1">
      <alignment horizontal="center" vertical="center"/>
    </xf>
    <xf numFmtId="0" fontId="0" fillId="0" borderId="39" xfId="0" applyBorder="1"/>
    <xf numFmtId="0" fontId="0" fillId="0" borderId="64" xfId="0" applyBorder="1"/>
    <xf numFmtId="0" fontId="0" fillId="0" borderId="73" xfId="0" applyBorder="1"/>
    <xf numFmtId="0" fontId="15" fillId="5" borderId="37" xfId="0" applyFont="1" applyFill="1" applyBorder="1" applyAlignment="1">
      <alignment horizontal="center" vertical="center"/>
    </xf>
    <xf numFmtId="0" fontId="0" fillId="0" borderId="31" xfId="0" applyBorder="1"/>
    <xf numFmtId="0" fontId="16" fillId="12" borderId="27" xfId="0" applyFont="1" applyFill="1" applyBorder="1" applyAlignment="1">
      <alignment horizontal="center" vertical="center"/>
    </xf>
    <xf numFmtId="0" fontId="0" fillId="0" borderId="23" xfId="0" applyBorder="1"/>
    <xf numFmtId="0" fontId="0" fillId="5" borderId="1" xfId="0" applyFill="1" applyBorder="1" applyAlignment="1">
      <alignment horizontal="left"/>
    </xf>
    <xf numFmtId="0" fontId="15" fillId="11" borderId="80" xfId="0" applyFont="1" applyFill="1" applyBorder="1" applyAlignment="1">
      <alignment horizontal="center" vertical="center" wrapText="1"/>
    </xf>
    <xf numFmtId="0" fontId="0" fillId="0" borderId="27" xfId="0" applyBorder="1"/>
    <xf numFmtId="0" fontId="0" fillId="0" borderId="26" xfId="0" applyBorder="1"/>
    <xf numFmtId="0" fontId="10" fillId="5" borderId="52" xfId="0" applyFont="1" applyFill="1" applyBorder="1" applyAlignment="1">
      <alignment horizontal="left" vertical="center"/>
    </xf>
    <xf numFmtId="0" fontId="0" fillId="0" borderId="83" xfId="0" applyBorder="1"/>
    <xf numFmtId="0" fontId="13" fillId="9" borderId="68" xfId="0" applyFont="1" applyFill="1" applyBorder="1" applyAlignment="1">
      <alignment horizontal="left" vertical="center"/>
    </xf>
    <xf numFmtId="0" fontId="0" fillId="0" borderId="4" xfId="0" applyBorder="1"/>
    <xf numFmtId="0" fontId="0" fillId="0" borderId="8" xfId="0" applyBorder="1"/>
    <xf numFmtId="0" fontId="15" fillId="11" borderId="41" xfId="0" applyFont="1" applyFill="1" applyBorder="1" applyAlignment="1">
      <alignment horizontal="center" vertical="center" wrapText="1"/>
    </xf>
    <xf numFmtId="0" fontId="0" fillId="0" borderId="76" xfId="0" applyBorder="1"/>
    <xf numFmtId="0" fontId="10" fillId="11" borderId="41" xfId="0" applyFont="1" applyFill="1" applyBorder="1" applyAlignment="1">
      <alignment horizontal="left" vertical="center" wrapText="1"/>
    </xf>
    <xf numFmtId="0" fontId="15" fillId="11" borderId="41" xfId="1" applyFont="1" applyFill="1" applyBorder="1" applyAlignment="1">
      <alignment horizontal="center" vertical="center" wrapText="1"/>
    </xf>
    <xf numFmtId="0" fontId="10" fillId="5" borderId="77" xfId="0" applyFont="1" applyFill="1" applyBorder="1" applyAlignment="1">
      <alignment horizontal="left" vertical="center"/>
    </xf>
    <xf numFmtId="0" fontId="0" fillId="0" borderId="11" xfId="0" applyBorder="1"/>
    <xf numFmtId="0" fontId="0" fillId="0" borderId="12" xfId="0" applyBorder="1"/>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2" xfId="0" applyBorder="1"/>
    <xf numFmtId="0" fontId="15" fillId="11" borderId="37" xfId="0" applyFont="1" applyFill="1" applyBorder="1" applyAlignment="1">
      <alignment horizontal="center" vertical="center" wrapText="1"/>
    </xf>
    <xf numFmtId="0" fontId="10" fillId="11" borderId="37" xfId="0" applyFont="1" applyFill="1" applyBorder="1" applyAlignment="1">
      <alignment horizontal="left" vertical="center" wrapText="1"/>
    </xf>
    <xf numFmtId="0" fontId="0" fillId="5" borderId="79" xfId="0" applyFill="1" applyBorder="1" applyAlignment="1">
      <alignment horizontal="left" vertical="center"/>
    </xf>
    <xf numFmtId="0" fontId="14" fillId="10" borderId="75" xfId="0" applyFont="1" applyFill="1" applyBorder="1" applyAlignment="1">
      <alignment horizontal="left" vertical="center"/>
    </xf>
    <xf numFmtId="0" fontId="0" fillId="0" borderId="33" xfId="0" applyBorder="1"/>
    <xf numFmtId="0" fontId="0" fillId="0" borderId="32" xfId="0" applyBorder="1"/>
    <xf numFmtId="0" fontId="14" fillId="10" borderId="74" xfId="0" applyFont="1" applyFill="1" applyBorder="1" applyAlignment="1">
      <alignment horizontal="left" vertical="center"/>
    </xf>
    <xf numFmtId="0" fontId="21" fillId="5" borderId="0" xfId="0" applyFont="1" applyFill="1" applyAlignment="1">
      <alignment horizontal="left" vertical="center"/>
    </xf>
    <xf numFmtId="0" fontId="0" fillId="5" borderId="0" xfId="0" applyFill="1"/>
    <xf numFmtId="9" fontId="0" fillId="5" borderId="35" xfId="0" applyNumberFormat="1" applyFill="1" applyBorder="1" applyAlignment="1">
      <alignment horizontal="left"/>
    </xf>
    <xf numFmtId="0" fontId="0" fillId="0" borderId="72" xfId="0" applyBorder="1"/>
    <xf numFmtId="0" fontId="0" fillId="0" borderId="66" xfId="0" applyBorder="1"/>
    <xf numFmtId="0" fontId="13" fillId="9" borderId="88" xfId="0" applyFont="1" applyFill="1" applyBorder="1" applyAlignment="1">
      <alignment horizontal="left" vertical="center"/>
    </xf>
    <xf numFmtId="0" fontId="0" fillId="0" borderId="60" xfId="0" applyBorder="1"/>
    <xf numFmtId="0" fontId="0" fillId="0" borderId="59" xfId="0" applyBorder="1"/>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5" borderId="78" xfId="0" applyFill="1" applyBorder="1" applyAlignment="1">
      <alignment horizontal="left"/>
    </xf>
    <xf numFmtId="0" fontId="0" fillId="0" borderId="38" xfId="0" applyBorder="1"/>
    <xf numFmtId="0" fontId="15" fillId="11" borderId="40" xfId="0" applyFont="1" applyFill="1" applyBorder="1" applyAlignment="1">
      <alignment horizontal="center" vertical="center" wrapText="1"/>
    </xf>
    <xf numFmtId="0" fontId="15" fillId="5" borderId="13" xfId="0" applyFont="1" applyFill="1" applyBorder="1" applyAlignment="1">
      <alignment horizontal="center" vertical="center"/>
    </xf>
    <xf numFmtId="0" fontId="0" fillId="0" borderId="67" xfId="0" applyBorder="1"/>
    <xf numFmtId="0" fontId="15" fillId="5" borderId="52" xfId="0" applyFont="1" applyFill="1" applyBorder="1" applyAlignment="1">
      <alignment horizontal="center" vertical="center" wrapText="1"/>
    </xf>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0" xfId="0" applyBorder="1"/>
    <xf numFmtId="0" fontId="19" fillId="5" borderId="1" xfId="1" applyFont="1" applyFill="1" applyBorder="1" applyAlignment="1">
      <alignment horizontal="center" vertical="center"/>
    </xf>
    <xf numFmtId="14" fontId="15" fillId="5" borderId="41" xfId="0" applyNumberFormat="1" applyFont="1" applyFill="1" applyBorder="1" applyAlignment="1">
      <alignment horizontal="center" vertical="center"/>
    </xf>
    <xf numFmtId="0" fontId="0" fillId="5" borderId="87" xfId="0" applyFill="1" applyBorder="1" applyAlignment="1">
      <alignment horizontal="left" vertical="center"/>
    </xf>
    <xf numFmtId="0" fontId="0" fillId="0" borderId="56" xfId="0" applyBorder="1"/>
    <xf numFmtId="0" fontId="0" fillId="5" borderId="35" xfId="0" applyFill="1" applyBorder="1" applyAlignment="1">
      <alignment horizontal="left"/>
    </xf>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5" borderId="81" xfId="0" applyFill="1" applyBorder="1" applyAlignment="1">
      <alignment horizontal="left" vertical="center"/>
    </xf>
    <xf numFmtId="0" fontId="0" fillId="0" borderId="6" xfId="0" applyBorder="1"/>
    <xf numFmtId="0" fontId="0" fillId="0" borderId="46" xfId="0" applyBorder="1"/>
    <xf numFmtId="0" fontId="0" fillId="0" borderId="9" xfId="0" applyBorder="1"/>
    <xf numFmtId="0" fontId="0" fillId="0" borderId="10" xfId="0" applyBorder="1"/>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Notes/Intent2"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46" t="s">
        <v>829</v>
      </c>
      <c r="C2" s="247"/>
      <c r="D2" s="247"/>
      <c r="E2" s="247"/>
      <c r="F2" s="247"/>
      <c r="G2" s="247"/>
      <c r="H2" s="247"/>
      <c r="I2" s="247"/>
      <c r="J2" s="247"/>
      <c r="K2" s="60"/>
      <c r="L2" s="59"/>
    </row>
    <row r="3" spans="2:18" ht="68.55" customHeight="1" thickBot="1">
      <c r="B3" s="4" t="s">
        <v>830</v>
      </c>
    </row>
    <row r="4" spans="2:18" ht="14.55" customHeight="1">
      <c r="B4" s="251" t="s">
        <v>831</v>
      </c>
      <c r="C4" s="236"/>
      <c r="D4" s="236"/>
      <c r="E4" s="236"/>
      <c r="F4" s="236"/>
      <c r="G4" s="236"/>
      <c r="H4" s="236"/>
      <c r="I4" s="236"/>
      <c r="J4" s="237"/>
      <c r="L4" s="260" t="s">
        <v>832</v>
      </c>
      <c r="M4" s="226"/>
      <c r="N4" s="226"/>
      <c r="O4" s="226"/>
      <c r="P4" s="226"/>
      <c r="Q4" s="226"/>
      <c r="R4" s="227"/>
    </row>
    <row r="5" spans="2:18" ht="15" customHeight="1" thickBot="1">
      <c r="B5" s="252"/>
      <c r="C5" s="247"/>
      <c r="D5" s="247"/>
      <c r="E5" s="247"/>
      <c r="F5" s="247"/>
      <c r="G5" s="247"/>
      <c r="H5" s="247"/>
      <c r="I5" s="247"/>
      <c r="J5" s="253"/>
      <c r="L5" s="261"/>
      <c r="M5" s="218"/>
      <c r="N5" s="218"/>
      <c r="O5" s="218"/>
      <c r="P5" s="218"/>
      <c r="Q5" s="218"/>
      <c r="R5" s="262"/>
    </row>
    <row r="6" spans="2:18" s="29" customFormat="1" ht="24" customHeight="1">
      <c r="B6" s="51" t="s">
        <v>833</v>
      </c>
      <c r="C6" s="268"/>
      <c r="D6" s="269"/>
      <c r="E6" s="58" t="s">
        <v>834</v>
      </c>
      <c r="F6" s="280"/>
      <c r="G6" s="281"/>
      <c r="H6" s="269"/>
      <c r="I6" s="57" t="s">
        <v>835</v>
      </c>
      <c r="J6" s="56"/>
      <c r="L6" s="30" t="s">
        <v>836</v>
      </c>
      <c r="M6" s="276" t="s">
        <v>837</v>
      </c>
      <c r="N6" s="243"/>
      <c r="O6" s="243"/>
      <c r="P6" s="243"/>
      <c r="Q6" s="243"/>
      <c r="R6" s="277"/>
    </row>
    <row r="7" spans="2:18" s="29" customFormat="1" ht="24" customHeight="1">
      <c r="B7" s="54" t="s">
        <v>838</v>
      </c>
      <c r="C7" s="200" t="s">
        <v>839</v>
      </c>
      <c r="D7" s="201"/>
      <c r="E7" s="53" t="s">
        <v>840</v>
      </c>
      <c r="F7" s="274"/>
      <c r="G7" s="214"/>
      <c r="H7" s="201"/>
      <c r="I7" s="55" t="s">
        <v>841</v>
      </c>
      <c r="J7" s="89"/>
      <c r="L7" s="40" t="s">
        <v>842</v>
      </c>
      <c r="M7" s="204">
        <v>25171</v>
      </c>
      <c r="N7" s="205"/>
      <c r="O7" s="205"/>
      <c r="P7" s="205"/>
      <c r="Q7" s="205"/>
      <c r="R7" s="206"/>
    </row>
    <row r="8" spans="2:18" s="29" customFormat="1" ht="24" customHeight="1">
      <c r="B8" s="54" t="s">
        <v>843</v>
      </c>
      <c r="C8" s="200"/>
      <c r="D8" s="201"/>
      <c r="E8" s="53" t="s">
        <v>844</v>
      </c>
      <c r="F8" s="200"/>
      <c r="G8" s="214"/>
      <c r="H8" s="201"/>
      <c r="I8" s="49" t="s">
        <v>845</v>
      </c>
      <c r="J8" s="47"/>
      <c r="L8" s="36" t="s">
        <v>846</v>
      </c>
      <c r="M8" s="204">
        <v>11175</v>
      </c>
      <c r="N8" s="205"/>
      <c r="O8" s="205"/>
      <c r="P8" s="205"/>
      <c r="Q8" s="205"/>
      <c r="R8" s="206"/>
    </row>
    <row r="9" spans="2:18" s="29" customFormat="1" ht="24" customHeight="1">
      <c r="B9" s="48" t="s">
        <v>847</v>
      </c>
      <c r="C9" s="200"/>
      <c r="D9" s="201"/>
      <c r="E9" s="53" t="s">
        <v>848</v>
      </c>
      <c r="F9" s="200"/>
      <c r="G9" s="214"/>
      <c r="H9" s="201"/>
      <c r="I9" s="49" t="s">
        <v>849</v>
      </c>
      <c r="J9" s="47"/>
      <c r="L9" s="36" t="s">
        <v>846</v>
      </c>
      <c r="M9" s="204">
        <v>11175</v>
      </c>
      <c r="N9" s="205"/>
      <c r="O9" s="205"/>
      <c r="P9" s="205"/>
      <c r="Q9" s="205"/>
      <c r="R9" s="206"/>
    </row>
    <row r="10" spans="2:18" s="29" customFormat="1" ht="24" customHeight="1">
      <c r="B10" s="48" t="s">
        <v>850</v>
      </c>
      <c r="C10" s="200"/>
      <c r="D10" s="201"/>
      <c r="E10" s="53" t="s">
        <v>851</v>
      </c>
      <c r="F10" s="200"/>
      <c r="G10" s="214"/>
      <c r="H10" s="201"/>
      <c r="I10" s="49" t="s">
        <v>852</v>
      </c>
      <c r="J10" s="47"/>
      <c r="L10" s="36" t="s">
        <v>846</v>
      </c>
      <c r="M10" s="204">
        <v>11175</v>
      </c>
      <c r="N10" s="205"/>
      <c r="O10" s="205"/>
      <c r="P10" s="205"/>
      <c r="Q10" s="205"/>
      <c r="R10" s="206"/>
    </row>
    <row r="11" spans="2:18" s="29" customFormat="1" ht="24" customHeight="1">
      <c r="B11" s="48" t="s">
        <v>853</v>
      </c>
      <c r="C11" s="200"/>
      <c r="D11" s="201"/>
      <c r="E11" s="53" t="s">
        <v>854</v>
      </c>
      <c r="F11" s="200"/>
      <c r="G11" s="214"/>
      <c r="H11" s="201"/>
      <c r="I11" s="49" t="s">
        <v>855</v>
      </c>
      <c r="J11" s="47"/>
      <c r="L11" s="36" t="s">
        <v>846</v>
      </c>
      <c r="M11" s="204">
        <v>11175</v>
      </c>
      <c r="N11" s="205"/>
      <c r="O11" s="205"/>
      <c r="P11" s="205"/>
      <c r="Q11" s="205"/>
      <c r="R11" s="206"/>
    </row>
    <row r="12" spans="2:18" s="29" customFormat="1" ht="24" customHeight="1">
      <c r="B12" s="48" t="s">
        <v>856</v>
      </c>
      <c r="C12" s="200"/>
      <c r="D12" s="201"/>
      <c r="E12" s="53" t="s">
        <v>857</v>
      </c>
      <c r="F12" s="200"/>
      <c r="G12" s="214"/>
      <c r="H12" s="214"/>
      <c r="I12" s="214"/>
      <c r="J12" s="201"/>
      <c r="L12" s="36" t="s">
        <v>846</v>
      </c>
      <c r="M12" s="204">
        <v>11175</v>
      </c>
      <c r="N12" s="205"/>
      <c r="O12" s="205"/>
      <c r="P12" s="205"/>
      <c r="Q12" s="205"/>
      <c r="R12" s="206"/>
    </row>
    <row r="13" spans="2:18" s="29" customFormat="1" ht="24" customHeight="1" thickBot="1">
      <c r="B13" s="90" t="s">
        <v>858</v>
      </c>
      <c r="C13" s="211"/>
      <c r="D13" s="213"/>
      <c r="E13" s="52" t="s">
        <v>859</v>
      </c>
      <c r="F13" s="211"/>
      <c r="G13" s="212"/>
      <c r="H13" s="212"/>
      <c r="I13" s="212"/>
      <c r="J13" s="213"/>
      <c r="L13" s="50" t="s">
        <v>860</v>
      </c>
      <c r="M13" s="279" t="s">
        <v>861</v>
      </c>
      <c r="N13" s="205"/>
      <c r="O13" s="205"/>
      <c r="P13" s="205"/>
      <c r="Q13" s="205"/>
      <c r="R13" s="206"/>
    </row>
    <row r="14" spans="2:18" ht="19.95" customHeight="1" thickBot="1">
      <c r="B14" s="13"/>
      <c r="C14" s="29"/>
      <c r="D14" s="29"/>
      <c r="E14" s="29"/>
      <c r="F14" s="29"/>
      <c r="G14" s="29"/>
      <c r="H14" s="29"/>
      <c r="I14" s="29"/>
      <c r="J14" s="29"/>
      <c r="L14" s="40" t="s">
        <v>862</v>
      </c>
      <c r="M14" s="204">
        <v>8</v>
      </c>
      <c r="N14" s="205"/>
      <c r="O14" s="205"/>
      <c r="P14" s="205"/>
      <c r="Q14" s="205"/>
      <c r="R14" s="206"/>
    </row>
    <row r="15" spans="2:18" ht="163.05000000000001" customHeight="1">
      <c r="B15" s="46" t="s">
        <v>863</v>
      </c>
      <c r="C15" s="271"/>
      <c r="D15" s="229"/>
      <c r="E15" s="45" t="s">
        <v>864</v>
      </c>
      <c r="F15" s="275"/>
      <c r="G15" s="243"/>
      <c r="H15" s="229"/>
      <c r="I15" s="44" t="s">
        <v>865</v>
      </c>
      <c r="J15" s="43"/>
      <c r="L15" s="40" t="s">
        <v>866</v>
      </c>
      <c r="M15" s="204" t="s">
        <v>867</v>
      </c>
      <c r="N15" s="205"/>
      <c r="O15" s="205"/>
      <c r="P15" s="205"/>
      <c r="Q15" s="205"/>
      <c r="R15" s="206"/>
    </row>
    <row r="16" spans="2:18" ht="163.05000000000001" customHeight="1">
      <c r="B16" s="39" t="s">
        <v>868</v>
      </c>
      <c r="C16" s="209"/>
      <c r="D16" s="210"/>
      <c r="E16" s="223" t="s">
        <v>869</v>
      </c>
      <c r="F16" s="254"/>
      <c r="G16" s="255"/>
      <c r="H16" s="256"/>
      <c r="I16" s="42" t="s">
        <v>870</v>
      </c>
      <c r="J16" s="41"/>
      <c r="L16" s="40" t="s">
        <v>871</v>
      </c>
      <c r="M16" s="204" t="s">
        <v>872</v>
      </c>
      <c r="N16" s="205"/>
      <c r="O16" s="205"/>
      <c r="P16" s="205"/>
      <c r="Q16" s="205"/>
      <c r="R16" s="206"/>
    </row>
    <row r="17" spans="2:18" ht="163.05000000000001" customHeight="1">
      <c r="B17" s="39" t="s">
        <v>873</v>
      </c>
      <c r="C17" s="209"/>
      <c r="D17" s="210"/>
      <c r="E17" s="224"/>
      <c r="F17" s="257"/>
      <c r="G17" s="258"/>
      <c r="H17" s="259"/>
      <c r="I17" s="42" t="s">
        <v>874</v>
      </c>
      <c r="J17" s="41"/>
      <c r="L17" s="40" t="s">
        <v>875</v>
      </c>
      <c r="M17" s="204" t="s">
        <v>876</v>
      </c>
      <c r="N17" s="205"/>
      <c r="O17" s="205"/>
      <c r="P17" s="205"/>
      <c r="Q17" s="205"/>
      <c r="R17" s="206"/>
    </row>
    <row r="18" spans="2:18" ht="163.05000000000001" customHeight="1">
      <c r="B18" s="39" t="s">
        <v>877</v>
      </c>
      <c r="C18" s="209"/>
      <c r="D18" s="210"/>
      <c r="E18" s="38" t="s">
        <v>878</v>
      </c>
      <c r="F18" s="270"/>
      <c r="G18" s="205"/>
      <c r="H18" s="210"/>
      <c r="I18" s="38" t="s">
        <v>879</v>
      </c>
      <c r="J18" s="37"/>
      <c r="L18" s="36" t="s">
        <v>880</v>
      </c>
      <c r="M18" s="204" t="s">
        <v>881</v>
      </c>
      <c r="N18" s="205"/>
      <c r="O18" s="205"/>
      <c r="P18" s="205"/>
      <c r="Q18" s="205"/>
      <c r="R18" s="206"/>
    </row>
    <row r="19" spans="2:18" ht="163.05000000000001" customHeight="1" thickBot="1">
      <c r="B19" s="35" t="s">
        <v>882</v>
      </c>
      <c r="C19" s="202"/>
      <c r="D19" s="203"/>
      <c r="E19" s="34" t="s">
        <v>883</v>
      </c>
      <c r="F19" s="215"/>
      <c r="G19" s="216"/>
      <c r="H19" s="203"/>
      <c r="I19" s="33" t="s">
        <v>884</v>
      </c>
      <c r="J19" s="32"/>
      <c r="L19" s="31" t="s">
        <v>885</v>
      </c>
      <c r="M19" s="204" t="s">
        <v>886</v>
      </c>
      <c r="N19" s="205"/>
      <c r="O19" s="205"/>
      <c r="P19" s="205"/>
      <c r="Q19" s="205"/>
      <c r="R19" s="206"/>
    </row>
    <row r="20" spans="2:18" ht="22.2" customHeight="1">
      <c r="B20" s="29"/>
      <c r="C20" s="29"/>
      <c r="D20" s="29"/>
      <c r="E20" s="29"/>
      <c r="F20" s="29"/>
      <c r="G20" s="29"/>
      <c r="H20" s="29"/>
      <c r="I20" s="29"/>
      <c r="J20" s="29"/>
      <c r="L20" s="30" t="s">
        <v>887</v>
      </c>
      <c r="M20" s="204" t="s">
        <v>888</v>
      </c>
      <c r="N20" s="205"/>
      <c r="O20" s="205"/>
      <c r="P20" s="205"/>
      <c r="Q20" s="205"/>
      <c r="R20" s="206"/>
    </row>
    <row r="21" spans="2:18" ht="14.55" customHeight="1" thickBot="1">
      <c r="B21" s="29"/>
      <c r="C21" s="29"/>
      <c r="D21" s="29"/>
      <c r="E21" s="29"/>
      <c r="F21" s="29"/>
      <c r="G21" s="29"/>
      <c r="H21" s="29"/>
      <c r="I21" s="29"/>
      <c r="J21" s="29"/>
      <c r="L21" s="264"/>
      <c r="M21" s="282"/>
      <c r="N21" s="247"/>
      <c r="O21" s="247"/>
      <c r="P21" s="247"/>
      <c r="Q21" s="247"/>
      <c r="R21" s="283"/>
    </row>
    <row r="22" spans="2:18" ht="15" customHeight="1" thickBot="1">
      <c r="B22" s="207" t="s">
        <v>889</v>
      </c>
      <c r="C22" s="18"/>
      <c r="D22" s="18"/>
      <c r="E22" s="217" t="s">
        <v>890</v>
      </c>
      <c r="F22" s="235"/>
      <c r="G22" s="236"/>
      <c r="H22" s="236"/>
      <c r="I22" s="236"/>
      <c r="J22" s="237"/>
      <c r="L22" s="234"/>
      <c r="M22" s="284"/>
      <c r="N22" s="285"/>
      <c r="O22" s="285"/>
      <c r="P22" s="285"/>
      <c r="Q22" s="285"/>
      <c r="R22" s="286"/>
    </row>
    <row r="23" spans="2:18" ht="15" customHeight="1" thickBot="1">
      <c r="B23" s="208"/>
      <c r="C23" s="17"/>
      <c r="D23" s="17"/>
      <c r="E23" s="218"/>
      <c r="F23" s="218"/>
      <c r="G23" s="218"/>
      <c r="H23" s="218"/>
      <c r="I23" s="218"/>
      <c r="J23" s="238"/>
    </row>
    <row r="24" spans="2:18" ht="222.45" customHeight="1" outlineLevel="1" thickBot="1">
      <c r="B24" s="16" t="s">
        <v>891</v>
      </c>
      <c r="C24" s="228"/>
      <c r="D24" s="229"/>
      <c r="E24" s="230" t="s">
        <v>892</v>
      </c>
      <c r="F24" s="229"/>
      <c r="G24" s="231"/>
      <c r="H24" s="229"/>
      <c r="I24" s="25" t="s">
        <v>893</v>
      </c>
      <c r="J24" s="28"/>
      <c r="L24" s="225" t="s">
        <v>894</v>
      </c>
      <c r="M24" s="226"/>
      <c r="N24" s="226"/>
      <c r="O24" s="226"/>
      <c r="P24" s="226"/>
      <c r="Q24" s="226"/>
      <c r="R24" s="227"/>
    </row>
    <row r="25" spans="2:18" ht="222.45" customHeight="1" outlineLevel="1" thickBot="1">
      <c r="B25" s="15" t="s">
        <v>895</v>
      </c>
      <c r="C25" s="239"/>
      <c r="D25" s="203"/>
      <c r="E25" s="240" t="s">
        <v>896</v>
      </c>
      <c r="F25" s="203"/>
      <c r="G25" s="239"/>
      <c r="H25" s="203"/>
      <c r="I25" s="23" t="s">
        <v>897</v>
      </c>
      <c r="J25" s="22"/>
      <c r="L25" s="14" t="s">
        <v>898</v>
      </c>
      <c r="M25" s="241" t="s">
        <v>899</v>
      </c>
      <c r="N25" s="226"/>
      <c r="O25" s="226"/>
      <c r="P25" s="226"/>
      <c r="Q25" s="226"/>
      <c r="R25" s="227"/>
    </row>
    <row r="26" spans="2:18" ht="22.95" customHeight="1" thickBot="1">
      <c r="B26" s="245" t="s">
        <v>900</v>
      </c>
      <c r="C26" s="221"/>
      <c r="D26" s="221"/>
      <c r="E26" s="221"/>
      <c r="F26" s="221"/>
      <c r="G26" s="221"/>
      <c r="H26" s="221"/>
      <c r="I26" s="221"/>
      <c r="J26" s="222"/>
      <c r="L26" s="225" t="s">
        <v>894</v>
      </c>
      <c r="M26" s="226"/>
      <c r="N26" s="226"/>
      <c r="O26" s="226"/>
      <c r="P26" s="226"/>
      <c r="Q26" s="226"/>
      <c r="R26" s="227"/>
    </row>
    <row r="27" spans="2:18" s="26" customFormat="1" ht="222.45" customHeight="1" outlineLevel="1">
      <c r="B27" s="16" t="s">
        <v>901</v>
      </c>
      <c r="C27" s="228"/>
      <c r="D27" s="229"/>
      <c r="E27" s="230" t="s">
        <v>902</v>
      </c>
      <c r="F27" s="229"/>
      <c r="G27" s="231"/>
      <c r="H27" s="229"/>
      <c r="I27" s="25" t="s">
        <v>903</v>
      </c>
      <c r="J27" s="24"/>
      <c r="L27" s="27" t="s">
        <v>904</v>
      </c>
      <c r="M27" s="263">
        <v>668</v>
      </c>
      <c r="N27" s="255"/>
      <c r="O27" s="248">
        <f>IFERROR(M27/M8,"-")</f>
        <v>5.9776286353467559E-2</v>
      </c>
      <c r="P27" s="249"/>
      <c r="Q27" s="249"/>
      <c r="R27" s="250"/>
    </row>
    <row r="28" spans="2:18" ht="222.45" customHeight="1" outlineLevel="1" thickBot="1">
      <c r="B28" s="15" t="s">
        <v>905</v>
      </c>
      <c r="C28" s="239"/>
      <c r="D28" s="203"/>
      <c r="E28" s="240" t="s">
        <v>906</v>
      </c>
      <c r="F28" s="203"/>
      <c r="G28" s="239"/>
      <c r="H28" s="203"/>
      <c r="I28" s="23" t="s">
        <v>907</v>
      </c>
      <c r="J28" s="22"/>
      <c r="L28" s="232" t="s">
        <v>908</v>
      </c>
      <c r="M28" s="278" t="s">
        <v>909</v>
      </c>
      <c r="N28" s="249"/>
      <c r="O28" s="249"/>
      <c r="P28" s="249"/>
      <c r="Q28" s="249"/>
      <c r="R28" s="250"/>
    </row>
    <row r="29" spans="2:18" ht="22.95" customHeight="1" thickBot="1">
      <c r="B29" s="245" t="s">
        <v>910</v>
      </c>
      <c r="C29" s="221"/>
      <c r="D29" s="221"/>
      <c r="E29" s="221"/>
      <c r="F29" s="221"/>
      <c r="G29" s="221"/>
      <c r="H29" s="221"/>
      <c r="I29" s="221"/>
      <c r="J29" s="222"/>
      <c r="L29" s="233"/>
      <c r="M29" s="21"/>
      <c r="N29" s="21"/>
      <c r="O29" s="21"/>
      <c r="P29" s="21"/>
      <c r="Q29" s="21"/>
      <c r="R29" s="21"/>
    </row>
    <row r="30" spans="2:18" ht="222.45" customHeight="1" outlineLevel="1">
      <c r="B30" s="16" t="s">
        <v>911</v>
      </c>
      <c r="C30" s="228"/>
      <c r="D30" s="229"/>
      <c r="E30" s="230" t="s">
        <v>912</v>
      </c>
      <c r="F30" s="229"/>
      <c r="G30" s="231"/>
      <c r="H30" s="229"/>
      <c r="I30" s="25" t="s">
        <v>913</v>
      </c>
      <c r="J30" s="24"/>
      <c r="L30" s="233"/>
      <c r="M30" s="219" t="s">
        <v>914</v>
      </c>
      <c r="N30" s="214"/>
      <c r="O30" s="214"/>
      <c r="P30" s="214"/>
      <c r="Q30" s="214"/>
      <c r="R30" s="201"/>
    </row>
    <row r="31" spans="2:18" ht="222.45" customHeight="1" outlineLevel="1" thickBot="1">
      <c r="B31" s="15" t="s">
        <v>915</v>
      </c>
      <c r="C31" s="239"/>
      <c r="D31" s="203"/>
      <c r="E31" s="240" t="s">
        <v>916</v>
      </c>
      <c r="F31" s="203"/>
      <c r="G31" s="239"/>
      <c r="H31" s="203"/>
      <c r="I31" s="23" t="s">
        <v>917</v>
      </c>
      <c r="J31" s="22"/>
      <c r="L31" s="233"/>
      <c r="M31" s="219" t="s">
        <v>914</v>
      </c>
      <c r="N31" s="214"/>
      <c r="O31" s="214"/>
      <c r="P31" s="214"/>
      <c r="Q31" s="214"/>
      <c r="R31" s="201"/>
    </row>
    <row r="32" spans="2:18" ht="22.95" customHeight="1" thickBot="1">
      <c r="B32" s="245" t="s">
        <v>918</v>
      </c>
      <c r="C32" s="221"/>
      <c r="D32" s="221"/>
      <c r="E32" s="221"/>
      <c r="F32" s="221"/>
      <c r="G32" s="221"/>
      <c r="H32" s="221"/>
      <c r="I32" s="221"/>
      <c r="J32" s="222"/>
      <c r="L32" s="233"/>
      <c r="M32" s="21"/>
      <c r="N32" s="21"/>
      <c r="O32" s="21"/>
      <c r="P32" s="21"/>
      <c r="Q32" s="21"/>
      <c r="R32" s="21"/>
    </row>
    <row r="33" spans="2:18" ht="222.45" customHeight="1" outlineLevel="1" thickBot="1">
      <c r="B33" s="16" t="s">
        <v>919</v>
      </c>
      <c r="C33" s="228"/>
      <c r="D33" s="229"/>
      <c r="E33" s="230" t="s">
        <v>920</v>
      </c>
      <c r="F33" s="229"/>
      <c r="G33" s="231"/>
      <c r="H33" s="229"/>
      <c r="I33" s="25" t="s">
        <v>921</v>
      </c>
      <c r="J33" s="24"/>
      <c r="L33" s="234"/>
      <c r="M33" s="265" t="s">
        <v>922</v>
      </c>
      <c r="N33" s="212"/>
      <c r="O33" s="212"/>
      <c r="P33" s="212"/>
      <c r="Q33" s="212"/>
      <c r="R33" s="266"/>
    </row>
    <row r="34" spans="2:18" ht="222.45" customHeight="1" outlineLevel="1" thickBot="1">
      <c r="B34" s="15" t="s">
        <v>923</v>
      </c>
      <c r="C34" s="239"/>
      <c r="D34" s="203"/>
      <c r="E34" s="240" t="s">
        <v>924</v>
      </c>
      <c r="F34" s="203"/>
      <c r="G34" s="239"/>
      <c r="H34" s="203"/>
      <c r="I34" s="23" t="s">
        <v>925</v>
      </c>
      <c r="J34" s="22"/>
    </row>
    <row r="35" spans="2:18" ht="22.95" customHeight="1">
      <c r="B35" s="242" t="s">
        <v>926</v>
      </c>
      <c r="C35" s="243"/>
      <c r="D35" s="243"/>
      <c r="E35" s="243"/>
      <c r="F35" s="243"/>
      <c r="G35" s="243"/>
      <c r="H35" s="243"/>
      <c r="I35" s="243"/>
      <c r="J35" s="244"/>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07" t="s">
        <v>927</v>
      </c>
      <c r="C39" s="18"/>
      <c r="D39" s="18"/>
      <c r="E39" s="217"/>
      <c r="F39" s="235"/>
      <c r="G39" s="236"/>
      <c r="H39" s="236"/>
      <c r="I39" s="236"/>
      <c r="J39" s="237"/>
    </row>
    <row r="40" spans="2:18" ht="15" customHeight="1" thickBot="1">
      <c r="B40" s="208"/>
      <c r="C40" s="17"/>
      <c r="D40" s="17"/>
      <c r="E40" s="218"/>
      <c r="F40" s="218"/>
      <c r="G40" s="218"/>
      <c r="H40" s="218"/>
      <c r="I40" s="218"/>
      <c r="J40" s="238"/>
    </row>
    <row r="41" spans="2:18" ht="222.45" customHeight="1" outlineLevel="1" thickBot="1">
      <c r="B41" s="16" t="s">
        <v>928</v>
      </c>
      <c r="C41" s="267"/>
      <c r="D41" s="243"/>
      <c r="E41" s="243"/>
      <c r="F41" s="243"/>
      <c r="G41" s="243"/>
      <c r="H41" s="243"/>
      <c r="I41" s="243"/>
      <c r="J41" s="244"/>
      <c r="L41" s="225" t="s">
        <v>894</v>
      </c>
      <c r="M41" s="226"/>
      <c r="N41" s="226"/>
      <c r="O41" s="226"/>
      <c r="P41" s="226"/>
      <c r="Q41" s="226"/>
      <c r="R41" s="227"/>
    </row>
    <row r="42" spans="2:18" ht="222.45" customHeight="1" outlineLevel="1" thickBot="1">
      <c r="B42" s="15" t="s">
        <v>929</v>
      </c>
      <c r="C42" s="272"/>
      <c r="D42" s="216"/>
      <c r="E42" s="216"/>
      <c r="F42" s="216"/>
      <c r="G42" s="216"/>
      <c r="H42" s="216"/>
      <c r="I42" s="216"/>
      <c r="J42" s="273"/>
      <c r="L42" s="14" t="s">
        <v>898</v>
      </c>
      <c r="M42" s="241" t="s">
        <v>899</v>
      </c>
      <c r="N42" s="226"/>
      <c r="O42" s="226"/>
      <c r="P42" s="226"/>
      <c r="Q42" s="226"/>
      <c r="R42" s="227"/>
    </row>
    <row r="43" spans="2:18" ht="222.45" customHeight="1" outlineLevel="1" thickBot="1">
      <c r="B43" s="15" t="s">
        <v>930</v>
      </c>
      <c r="C43" s="220"/>
      <c r="D43" s="221"/>
      <c r="E43" s="221"/>
      <c r="F43" s="221"/>
      <c r="G43" s="221"/>
      <c r="H43" s="221"/>
      <c r="I43" s="221"/>
      <c r="J43" s="222"/>
      <c r="L43" s="14" t="s">
        <v>898</v>
      </c>
      <c r="M43" s="241" t="s">
        <v>899</v>
      </c>
      <c r="N43" s="226"/>
      <c r="O43" s="226"/>
      <c r="P43" s="226"/>
      <c r="Q43" s="226"/>
      <c r="R43" s="227"/>
    </row>
    <row r="44" spans="2:18" ht="22.95" customHeight="1" thickBot="1">
      <c r="B44" s="245" t="s">
        <v>931</v>
      </c>
      <c r="C44" s="221"/>
      <c r="D44" s="221"/>
      <c r="E44" s="221"/>
      <c r="F44" s="221"/>
      <c r="G44" s="221"/>
      <c r="H44" s="221"/>
      <c r="I44" s="221"/>
      <c r="J44" s="222"/>
      <c r="L44" s="225" t="s">
        <v>894</v>
      </c>
      <c r="M44" s="226"/>
      <c r="N44" s="226"/>
      <c r="O44" s="226"/>
      <c r="P44" s="226"/>
      <c r="Q44" s="226"/>
      <c r="R44" s="227"/>
    </row>
  </sheetData>
  <mergeCells count="98">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3:R33"/>
    <mergeCell ref="M42:R42"/>
    <mergeCell ref="G33:H33"/>
    <mergeCell ref="C34:D34"/>
    <mergeCell ref="L44:R44"/>
    <mergeCell ref="E39:E40"/>
    <mergeCell ref="B44:J44"/>
    <mergeCell ref="C41:J41"/>
    <mergeCell ref="B39:B40"/>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C17:D17"/>
    <mergeCell ref="E30:F30"/>
    <mergeCell ref="G30:H30"/>
    <mergeCell ref="G31:H31"/>
    <mergeCell ref="B35:J35"/>
    <mergeCell ref="C28:D28"/>
    <mergeCell ref="B32:J32"/>
    <mergeCell ref="E31:F31"/>
    <mergeCell ref="C31:D31"/>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tabSelected="1" zoomScale="70" zoomScaleNormal="70" workbookViewId="0">
      <pane ySplit="8" topLeftCell="A9" activePane="bottomLeft" state="frozen"/>
      <selection activeCell="H10" sqref="H10"/>
      <selection pane="bottomLeft" activeCell="C16" sqref="C16"/>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92" t="s">
        <v>932</v>
      </c>
      <c r="B1" s="293"/>
      <c r="C1" s="293"/>
      <c r="D1" s="293"/>
      <c r="E1" s="293"/>
      <c r="F1" s="293"/>
      <c r="G1" s="294"/>
    </row>
    <row r="2" spans="1:32">
      <c r="A2" s="10" t="s">
        <v>933</v>
      </c>
      <c r="B2" s="4" t="s">
        <v>934</v>
      </c>
      <c r="C2" s="4"/>
      <c r="D2" s="289"/>
      <c r="E2" s="290"/>
      <c r="F2" s="290"/>
      <c r="G2" s="291"/>
    </row>
    <row r="3" spans="1:32">
      <c r="A3" s="9" t="s">
        <v>935</v>
      </c>
      <c r="B3" t="s">
        <v>936</v>
      </c>
      <c r="D3" s="8"/>
      <c r="E3" s="8"/>
    </row>
    <row r="4" spans="1:32" ht="14.4" customHeight="1">
      <c r="A4" s="10" t="s">
        <v>937</v>
      </c>
      <c r="B4" s="4" t="s">
        <v>938</v>
      </c>
      <c r="C4" s="4"/>
      <c r="D4" s="289"/>
      <c r="E4" s="290"/>
      <c r="F4" s="290"/>
      <c r="G4" s="291"/>
    </row>
    <row r="5" spans="1:32" ht="14.4" customHeight="1">
      <c r="A5" s="10" t="s">
        <v>939</v>
      </c>
      <c r="B5" s="114">
        <v>46083.684884259259</v>
      </c>
      <c r="C5" s="4"/>
      <c r="D5" s="8"/>
      <c r="E5" s="8"/>
    </row>
    <row r="6" spans="1:32" ht="15" customHeight="1" thickBot="1">
      <c r="A6" s="4"/>
      <c r="B6" s="4"/>
      <c r="C6" s="4"/>
      <c r="D6" s="6"/>
      <c r="E6" s="6"/>
      <c r="F6" s="6"/>
      <c r="G6" s="4"/>
    </row>
    <row r="7" spans="1:32" ht="21" customHeight="1" thickBot="1">
      <c r="A7" s="298" t="s">
        <v>940</v>
      </c>
      <c r="B7" s="291"/>
      <c r="C7" s="291"/>
      <c r="D7" s="297" t="str">
        <f>'Logic and Calculation'!B5</f>
        <v xml:space="preserve">Compliant </v>
      </c>
      <c r="E7" s="293"/>
      <c r="F7" s="293"/>
      <c r="G7" s="293"/>
    </row>
    <row r="8" spans="1:32" ht="40.799999999999997" customHeight="1">
      <c r="A8" s="296" t="s">
        <v>941</v>
      </c>
      <c r="B8" s="291"/>
      <c r="C8" s="291"/>
      <c r="D8" s="295"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26"/>
      <c r="F8" s="226"/>
      <c r="G8" s="226"/>
    </row>
    <row r="9" spans="1:32" s="4" customFormat="1" ht="18" customHeight="1">
      <c r="A9" s="11"/>
      <c r="D9" s="12"/>
      <c r="E9" s="12"/>
    </row>
    <row r="10" spans="1:32" s="4" customFormat="1" ht="18" customHeight="1">
      <c r="A10" s="11"/>
      <c r="D10" s="12"/>
      <c r="E10" s="12"/>
    </row>
    <row r="11" spans="1:32" ht="15.6" customHeight="1">
      <c r="A11" s="287" t="s">
        <v>942</v>
      </c>
      <c r="B11" s="288"/>
      <c r="C11" s="288"/>
      <c r="D11" s="288"/>
      <c r="E11" s="288"/>
      <c r="F11" s="288"/>
      <c r="G11" s="288"/>
    </row>
    <row r="12" spans="1:32" ht="19.95" customHeight="1">
      <c r="A12" s="61" t="s">
        <v>0</v>
      </c>
      <c r="B12" s="61" t="s">
        <v>3</v>
      </c>
      <c r="C12" s="61" t="s">
        <v>943</v>
      </c>
      <c r="D12" s="61" t="s">
        <v>9</v>
      </c>
      <c r="E12" s="61" t="s">
        <v>10</v>
      </c>
      <c r="F12" s="61" t="s">
        <v>11</v>
      </c>
      <c r="G12" s="61" t="s">
        <v>14</v>
      </c>
      <c r="H12" s="61" t="s">
        <v>13</v>
      </c>
      <c r="AF12" s="4"/>
    </row>
    <row r="13" spans="1:32" ht="44.4" customHeight="1">
      <c r="A13" s="62" t="e" cm="1" v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_xlpm.filtered_st, _xlfn._xlws.FILTER(_xlpm.st, (_xlpm.st="FLAG")+(_xlpm.st="PARTIAL")),
  _xlpm.data, _xlfn.HSTACK(_xlpm.block, _xlpm.name, _xlpm.st, _xlpm.saw, _xlpm.why, _xlpm.how, _xlpm.imp, _xlpm.impact, _xlpm.priority),
  _xlfn.SORTBY(
    _xlfn._xlws.FILTER(_xlpm.data, (_xlpm.st="FLAG")+(_xlpm.st="PARTIAL"), "No findings — all controls OK"),
    IF(_xlpm.filtered_st="FLAG", 1, 2), 1
  )
)</f>
        <v>#VALUE!</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13:D36">
    <cfRule type="cellIs" dxfId="23" priority="1" stopIfTrue="1" operator="equal">
      <formula>"OK"</formula>
    </cfRule>
    <cfRule type="cellIs" dxfId="22" priority="2" stopIfTrue="1" operator="equal">
      <formula>"PARTIAL"</formula>
    </cfRule>
    <cfRule type="cellIs" dxfId="21" priority="3" stopIfTrue="1" operator="equal">
      <formula>"FLAG"</formula>
    </cfRule>
  </conditionalFormatting>
  <conditionalFormatting sqref="C37:C45">
    <cfRule type="cellIs" dxfId="20" priority="13" stopIfTrue="1" operator="equal">
      <formula>"OK"</formula>
    </cfRule>
    <cfRule type="cellIs" dxfId="19" priority="14" stopIfTrue="1" operator="equal">
      <formula>"PARTIAL"</formula>
    </cfRule>
    <cfRule type="cellIs" dxfId="18" priority="15"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944</v>
      </c>
      <c r="B2" s="87" t="s">
        <v>945</v>
      </c>
      <c r="C2" s="86" t="s">
        <v>946</v>
      </c>
      <c r="D2" s="84" t="s">
        <v>947</v>
      </c>
      <c r="E2" s="86" t="s">
        <v>948</v>
      </c>
      <c r="F2" s="85" t="s">
        <v>949</v>
      </c>
      <c r="G2" s="86" t="s">
        <v>950</v>
      </c>
      <c r="H2" s="84" t="s">
        <v>951</v>
      </c>
      <c r="I2" s="85" t="s">
        <v>952</v>
      </c>
      <c r="J2" s="84" t="s">
        <v>953</v>
      </c>
      <c r="K2" s="79" t="s">
        <v>954</v>
      </c>
      <c r="L2" s="78" t="s">
        <v>955</v>
      </c>
      <c r="M2" s="78" t="s">
        <v>956</v>
      </c>
      <c r="N2" s="83" t="s">
        <v>957</v>
      </c>
      <c r="O2" s="82" t="s">
        <v>958</v>
      </c>
      <c r="P2" s="82" t="s">
        <v>959</v>
      </c>
      <c r="Q2" s="82" t="s">
        <v>960</v>
      </c>
      <c r="R2" s="82" t="s">
        <v>961</v>
      </c>
      <c r="S2" s="82" t="s">
        <v>962</v>
      </c>
      <c r="T2" s="82" t="s">
        <v>963</v>
      </c>
      <c r="U2" s="82" t="s">
        <v>964</v>
      </c>
      <c r="V2" s="82" t="s">
        <v>965</v>
      </c>
      <c r="W2" s="82" t="s">
        <v>966</v>
      </c>
      <c r="X2" s="82" t="s">
        <v>967</v>
      </c>
      <c r="Y2" s="82" t="s">
        <v>968</v>
      </c>
      <c r="Z2" s="82" t="s">
        <v>969</v>
      </c>
      <c r="AA2" s="82" t="s">
        <v>970</v>
      </c>
      <c r="AB2" s="81" t="s">
        <v>971</v>
      </c>
      <c r="AC2" s="80" t="s">
        <v>972</v>
      </c>
      <c r="AD2" s="91" t="s">
        <v>973</v>
      </c>
      <c r="AE2" s="91" t="s">
        <v>974</v>
      </c>
      <c r="AF2" s="91" t="s">
        <v>975</v>
      </c>
      <c r="AG2" s="91" t="s">
        <v>976</v>
      </c>
      <c r="AH2" s="92" t="s">
        <v>977</v>
      </c>
      <c r="AI2" s="93" t="s">
        <v>978</v>
      </c>
      <c r="AJ2" s="94" t="s">
        <v>979</v>
      </c>
      <c r="AK2" s="94" t="s">
        <v>980</v>
      </c>
      <c r="AL2" s="94" t="s">
        <v>981</v>
      </c>
      <c r="AM2" s="94" t="s">
        <v>872</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C21" sqref="C21"/>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982</v>
      </c>
    </row>
    <row r="2" spans="1:13">
      <c r="A2" t="s">
        <v>983</v>
      </c>
      <c r="B2">
        <v>100</v>
      </c>
      <c r="D2" t="s">
        <v>984</v>
      </c>
      <c r="H2" s="2" t="s">
        <v>14</v>
      </c>
      <c r="I2" s="5" t="s">
        <v>985</v>
      </c>
      <c r="J2" s="2" t="s">
        <v>986</v>
      </c>
      <c r="L2" s="5" t="s">
        <v>940</v>
      </c>
      <c r="M2" s="5" t="s">
        <v>987</v>
      </c>
    </row>
    <row r="3" spans="1:13">
      <c r="A3" t="s">
        <v>988</v>
      </c>
      <c r="B3">
        <f>B8</f>
        <v>0</v>
      </c>
      <c r="D3" t="s">
        <v>989</v>
      </c>
      <c r="H3">
        <v>10</v>
      </c>
      <c r="I3">
        <v>-18</v>
      </c>
      <c r="J3" t="s">
        <v>26</v>
      </c>
      <c r="L3" t="s">
        <v>990</v>
      </c>
      <c r="M3" t="s">
        <v>991</v>
      </c>
    </row>
    <row r="4" spans="1:13">
      <c r="A4" t="s">
        <v>992</v>
      </c>
      <c r="B4">
        <f>B2+B3</f>
        <v>100</v>
      </c>
      <c r="D4" t="s">
        <v>993</v>
      </c>
      <c r="H4">
        <v>9</v>
      </c>
      <c r="I4">
        <v>-15</v>
      </c>
      <c r="J4" t="s">
        <v>36</v>
      </c>
      <c r="L4" t="s">
        <v>994</v>
      </c>
      <c r="M4" t="s">
        <v>995</v>
      </c>
    </row>
    <row r="5" spans="1:13">
      <c r="A5" t="s">
        <v>996</v>
      </c>
      <c r="B5" t="str">
        <f>IF(B4&gt;=75,"Compliant ",IF(AND(B4&lt;=74,B4&gt;=40),"Needs Attention","Not Compliant"))</f>
        <v xml:space="preserve">Compliant </v>
      </c>
      <c r="D5" t="s">
        <v>997</v>
      </c>
      <c r="H5">
        <v>8</v>
      </c>
      <c r="I5">
        <v>-13</v>
      </c>
      <c r="J5" t="s">
        <v>36</v>
      </c>
      <c r="L5" t="s">
        <v>998</v>
      </c>
      <c r="M5" t="s">
        <v>999</v>
      </c>
    </row>
    <row r="6" spans="1:13">
      <c r="A6" t="s">
        <v>1000</v>
      </c>
      <c r="B6" t="s">
        <v>1001</v>
      </c>
      <c r="H6">
        <v>7</v>
      </c>
      <c r="I6">
        <v>-11</v>
      </c>
      <c r="J6" t="s">
        <v>51</v>
      </c>
    </row>
    <row r="7" spans="1:13">
      <c r="H7">
        <v>6</v>
      </c>
      <c r="I7">
        <v>-9</v>
      </c>
      <c r="J7" t="s">
        <v>51</v>
      </c>
    </row>
    <row r="8" spans="1:13">
      <c r="A8" t="s">
        <v>1002</v>
      </c>
      <c r="B8">
        <f>SUMIF('Account Strategy _Analysis'!H:H,"&lt;&gt;#N/A",'Account Strategy _Analysis'!I:I)</f>
        <v>0</v>
      </c>
      <c r="H8">
        <v>5</v>
      </c>
      <c r="I8">
        <v>-7</v>
      </c>
      <c r="J8" t="s">
        <v>51</v>
      </c>
    </row>
    <row r="9" spans="1:13">
      <c r="H9">
        <v>4</v>
      </c>
      <c r="I9">
        <v>-5</v>
      </c>
      <c r="J9" t="s">
        <v>1003</v>
      </c>
    </row>
    <row r="10" spans="1:13">
      <c r="H10">
        <v>3</v>
      </c>
      <c r="I10">
        <v>-3</v>
      </c>
      <c r="J10" t="s">
        <v>1003</v>
      </c>
    </row>
    <row r="11" spans="1:13">
      <c r="H11">
        <v>2</v>
      </c>
      <c r="I11">
        <v>-2</v>
      </c>
      <c r="J11" t="s">
        <v>1004</v>
      </c>
    </row>
    <row r="12" spans="1:13">
      <c r="H12">
        <v>1</v>
      </c>
      <c r="I12">
        <v>0</v>
      </c>
      <c r="J12" t="s">
        <v>1004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zoomScale="77" zoomScaleNormal="77" workbookViewId="0">
      <selection activeCell="F93" sqref="F93"/>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29.6640625" customWidth="1"/>
    <col min="8" max="12" width="39.6640625" customWidth="1"/>
    <col min="13" max="13" width="40" customWidth="1"/>
    <col min="14" max="14" width="8.44140625" customWidth="1"/>
    <col min="15" max="15" width="14" customWidth="1"/>
    <col min="16" max="16" width="20.5546875" customWidth="1"/>
    <col min="17" max="17" width="29.6640625" customWidth="1"/>
  </cols>
  <sheetData>
    <row r="1" spans="1:18" ht="27.6">
      <c r="A1" s="120" t="s">
        <v>0</v>
      </c>
      <c r="B1" s="120" t="s">
        <v>1</v>
      </c>
      <c r="C1" s="120" t="s">
        <v>1286</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1307</v>
      </c>
    </row>
    <row r="2" spans="1:18" ht="43.2" customHeight="1">
      <c r="A2" s="129" t="s">
        <v>1047</v>
      </c>
      <c r="B2" s="129" t="s">
        <v>17</v>
      </c>
      <c r="C2" s="129" t="s">
        <v>18</v>
      </c>
      <c r="D2" s="130" t="s">
        <v>19</v>
      </c>
      <c r="E2" s="130" t="s">
        <v>20</v>
      </c>
      <c r="F2" s="131" t="s">
        <v>21</v>
      </c>
      <c r="G2" s="132" t="s">
        <v>22</v>
      </c>
      <c r="H2" s="133" t="s">
        <v>23</v>
      </c>
      <c r="I2" s="134" t="s">
        <v>1048</v>
      </c>
      <c r="J2" s="132" t="s">
        <v>24</v>
      </c>
      <c r="K2" s="132" t="s">
        <v>25</v>
      </c>
      <c r="L2" s="132" t="s">
        <v>1239</v>
      </c>
      <c r="M2" s="130" t="s">
        <v>1049</v>
      </c>
      <c r="N2" s="131" t="str">
        <f>VLOOKUP(Table133[[#This Row],[Importance]],'Logic and Calculation'!$H$2:$J$12,3,FALSE)</f>
        <v>Visibility</v>
      </c>
      <c r="O2" s="135">
        <v>1</v>
      </c>
      <c r="P2" s="131">
        <f>VLOOKUP(Table133[[#This Row],[Importance]],'Logic and Calculation'!$H$2:$J$12,2,FALSE)</f>
        <v>0</v>
      </c>
      <c r="Q2" s="133"/>
      <c r="R2" s="133"/>
    </row>
    <row r="3" spans="1:18" ht="86.4" customHeight="1">
      <c r="A3" s="129" t="s">
        <v>1047</v>
      </c>
      <c r="B3" s="129" t="s">
        <v>17</v>
      </c>
      <c r="C3" s="129" t="s">
        <v>27</v>
      </c>
      <c r="D3" s="130" t="s">
        <v>28</v>
      </c>
      <c r="E3" s="130" t="s">
        <v>29</v>
      </c>
      <c r="F3" s="131" t="s">
        <v>21</v>
      </c>
      <c r="G3" s="132" t="s">
        <v>30</v>
      </c>
      <c r="H3" s="133" t="s">
        <v>31</v>
      </c>
      <c r="I3" s="132" t="s">
        <v>32</v>
      </c>
      <c r="J3" s="132" t="s">
        <v>33</v>
      </c>
      <c r="K3" s="132" t="s">
        <v>34</v>
      </c>
      <c r="L3" s="132" t="s">
        <v>35</v>
      </c>
      <c r="M3" s="130" t="s">
        <v>1050</v>
      </c>
      <c r="N3" s="131" t="str">
        <f>VLOOKUP(Table133[[#This Row],[Importance]],'Logic and Calculation'!$H$2:$J$12,3,FALSE)</f>
        <v>Medium</v>
      </c>
      <c r="O3" s="135">
        <v>7</v>
      </c>
      <c r="P3" s="131">
        <f>VLOOKUP(Table133[[#This Row],[Importance]],'Logic and Calculation'!$H$2:$J$12,2,FALSE)</f>
        <v>-11</v>
      </c>
      <c r="Q3" s="133"/>
      <c r="R3" s="133"/>
    </row>
    <row r="4" spans="1:18" ht="72" customHeight="1">
      <c r="A4" s="129" t="s">
        <v>1047</v>
      </c>
      <c r="B4" s="129" t="s">
        <v>17</v>
      </c>
      <c r="C4" s="129" t="s">
        <v>37</v>
      </c>
      <c r="D4" s="130" t="s">
        <v>38</v>
      </c>
      <c r="E4" s="130" t="s">
        <v>29</v>
      </c>
      <c r="F4" s="131" t="s">
        <v>21</v>
      </c>
      <c r="G4" s="132" t="s">
        <v>39</v>
      </c>
      <c r="H4" s="133" t="s">
        <v>40</v>
      </c>
      <c r="I4" s="132" t="s">
        <v>41</v>
      </c>
      <c r="J4" s="132" t="s">
        <v>42</v>
      </c>
      <c r="K4" s="132" t="s">
        <v>34</v>
      </c>
      <c r="L4" s="132" t="s">
        <v>35</v>
      </c>
      <c r="M4" s="130" t="s">
        <v>1051</v>
      </c>
      <c r="N4" s="131" t="str">
        <f>VLOOKUP(Table133[[#This Row],[Importance]],'Logic and Calculation'!$H$2:$J$12,3,FALSE)</f>
        <v>Medium</v>
      </c>
      <c r="O4" s="135">
        <v>7</v>
      </c>
      <c r="P4" s="131">
        <f>VLOOKUP(Table133[[#This Row],[Importance]],'Logic and Calculation'!$H$2:$J$12,2,FALSE)</f>
        <v>-11</v>
      </c>
      <c r="Q4" s="133"/>
      <c r="R4" s="133"/>
    </row>
    <row r="5" spans="1:18" ht="86.4" customHeight="1">
      <c r="A5" s="129" t="s">
        <v>1047</v>
      </c>
      <c r="B5" s="129" t="s">
        <v>17</v>
      </c>
      <c r="C5" s="129" t="s">
        <v>43</v>
      </c>
      <c r="D5" s="130" t="s">
        <v>44</v>
      </c>
      <c r="E5" s="130" t="s">
        <v>29</v>
      </c>
      <c r="F5" s="131" t="s">
        <v>21</v>
      </c>
      <c r="G5" s="132" t="s">
        <v>45</v>
      </c>
      <c r="H5" s="133" t="s">
        <v>46</v>
      </c>
      <c r="I5" s="132" t="s">
        <v>47</v>
      </c>
      <c r="J5" s="132" t="s">
        <v>48</v>
      </c>
      <c r="K5" s="132" t="s">
        <v>49</v>
      </c>
      <c r="L5" s="132" t="s">
        <v>50</v>
      </c>
      <c r="M5" s="130" t="s">
        <v>1052</v>
      </c>
      <c r="N5" s="131" t="str">
        <f>VLOOKUP(Table133[[#This Row],[Importance]],'Logic and Calculation'!$H$2:$J$12,3,FALSE)</f>
        <v>Visibility</v>
      </c>
      <c r="O5" s="135">
        <v>2</v>
      </c>
      <c r="P5" s="131">
        <f>VLOOKUP(Table133[[#This Row],[Importance]],'Logic and Calculation'!$H$2:$J$12,2,FALSE)</f>
        <v>-2</v>
      </c>
      <c r="Q5" s="133"/>
      <c r="R5" s="133"/>
    </row>
    <row r="6" spans="1:18" ht="100.8" customHeight="1">
      <c r="A6" s="129" t="s">
        <v>1047</v>
      </c>
      <c r="B6" s="129" t="s">
        <v>17</v>
      </c>
      <c r="C6" s="129" t="s">
        <v>52</v>
      </c>
      <c r="D6" s="130" t="s">
        <v>1053</v>
      </c>
      <c r="E6" s="130" t="s">
        <v>29</v>
      </c>
      <c r="F6" s="131" t="s">
        <v>21</v>
      </c>
      <c r="G6" s="132" t="s">
        <v>53</v>
      </c>
      <c r="H6" s="133" t="s">
        <v>54</v>
      </c>
      <c r="I6" s="132" t="s">
        <v>55</v>
      </c>
      <c r="J6" s="132" t="s">
        <v>56</v>
      </c>
      <c r="K6" s="132" t="s">
        <v>57</v>
      </c>
      <c r="L6" s="132" t="s">
        <v>58</v>
      </c>
      <c r="M6" s="130" t="s">
        <v>1054</v>
      </c>
      <c r="N6" s="131" t="str">
        <f>VLOOKUP(Table133[[#This Row],[Importance]],'Logic and Calculation'!$H$2:$J$12,3,FALSE)</f>
        <v>Medium</v>
      </c>
      <c r="O6" s="135">
        <v>5</v>
      </c>
      <c r="P6" s="131">
        <f>VLOOKUP(Table133[[#This Row],[Importance]],'Logic and Calculation'!$H$2:$J$12,2,FALSE)</f>
        <v>-7</v>
      </c>
      <c r="Q6" s="133"/>
      <c r="R6" s="133"/>
    </row>
    <row r="7" spans="1:18" ht="100.8" customHeight="1">
      <c r="A7" s="129" t="s">
        <v>1047</v>
      </c>
      <c r="B7" s="129" t="s">
        <v>17</v>
      </c>
      <c r="C7" s="129" t="s">
        <v>59</v>
      </c>
      <c r="D7" s="130" t="s">
        <v>60</v>
      </c>
      <c r="E7" s="130" t="s">
        <v>29</v>
      </c>
      <c r="F7" s="131" t="s">
        <v>21</v>
      </c>
      <c r="G7" s="132" t="s">
        <v>61</v>
      </c>
      <c r="H7" s="133" t="s">
        <v>62</v>
      </c>
      <c r="I7" s="132" t="s">
        <v>63</v>
      </c>
      <c r="J7" s="132" t="s">
        <v>64</v>
      </c>
      <c r="K7" s="132" t="s">
        <v>65</v>
      </c>
      <c r="L7" s="132" t="s">
        <v>66</v>
      </c>
      <c r="M7" s="130" t="s">
        <v>1055</v>
      </c>
      <c r="N7" s="131" t="str">
        <f>VLOOKUP(Table133[[#This Row],[Importance]],'Logic and Calculation'!$H$2:$J$12,3,FALSE)</f>
        <v>Medium</v>
      </c>
      <c r="O7" s="135">
        <v>7</v>
      </c>
      <c r="P7" s="131">
        <f>VLOOKUP(Table133[[#This Row],[Importance]],'Logic and Calculation'!$H$2:$J$12,2,FALSE)</f>
        <v>-11</v>
      </c>
      <c r="Q7" s="133"/>
      <c r="R7" s="133"/>
    </row>
    <row r="8" spans="1:18" ht="100.8" customHeight="1">
      <c r="A8" s="129" t="s">
        <v>1047</v>
      </c>
      <c r="B8" s="129" t="s">
        <v>17</v>
      </c>
      <c r="C8" s="129" t="s">
        <v>67</v>
      </c>
      <c r="D8" s="130" t="s">
        <v>68</v>
      </c>
      <c r="E8" s="130" t="s">
        <v>29</v>
      </c>
      <c r="F8" s="131" t="s">
        <v>21</v>
      </c>
      <c r="G8" s="132" t="s">
        <v>69</v>
      </c>
      <c r="H8" s="133" t="s">
        <v>70</v>
      </c>
      <c r="I8" s="132" t="s">
        <v>71</v>
      </c>
      <c r="J8" s="132" t="s">
        <v>72</v>
      </c>
      <c r="K8" s="132" t="s">
        <v>73</v>
      </c>
      <c r="L8" s="132" t="s">
        <v>74</v>
      </c>
      <c r="M8" s="130" t="s">
        <v>1056</v>
      </c>
      <c r="N8" s="131" t="str">
        <f>VLOOKUP(Table133[[#This Row],[Importance]],'Logic and Calculation'!$H$2:$J$12,3,FALSE)</f>
        <v>Medium</v>
      </c>
      <c r="O8" s="135">
        <v>5</v>
      </c>
      <c r="P8" s="131">
        <f>VLOOKUP(Table133[[#This Row],[Importance]],'Logic and Calculation'!$H$2:$J$12,2,FALSE)</f>
        <v>-7</v>
      </c>
      <c r="Q8" s="133"/>
      <c r="R8" s="133"/>
    </row>
    <row r="9" spans="1:18" ht="100.8" customHeight="1">
      <c r="A9" s="129" t="s">
        <v>1047</v>
      </c>
      <c r="B9" s="129" t="s">
        <v>17</v>
      </c>
      <c r="C9" s="129" t="s">
        <v>75</v>
      </c>
      <c r="D9" s="136" t="s">
        <v>76</v>
      </c>
      <c r="E9" s="130" t="s">
        <v>29</v>
      </c>
      <c r="F9" s="131" t="s">
        <v>21</v>
      </c>
      <c r="G9" s="132" t="s">
        <v>77</v>
      </c>
      <c r="H9" s="133" t="s">
        <v>78</v>
      </c>
      <c r="I9" s="132" t="s">
        <v>79</v>
      </c>
      <c r="J9" s="132" t="s">
        <v>80</v>
      </c>
      <c r="K9" s="132" t="s">
        <v>81</v>
      </c>
      <c r="L9" s="132" t="s">
        <v>82</v>
      </c>
      <c r="M9" s="137" t="s">
        <v>1057</v>
      </c>
      <c r="N9" s="131" t="str">
        <f>VLOOKUP(Table133[[#This Row],[Importance]],'Logic and Calculation'!$H$2:$J$12,3,FALSE)</f>
        <v>High</v>
      </c>
      <c r="O9" s="135">
        <v>8</v>
      </c>
      <c r="P9" s="131">
        <f>VLOOKUP(Table133[[#This Row],[Importance]],'Logic and Calculation'!$H$2:$J$12,2,FALSE)</f>
        <v>-13</v>
      </c>
      <c r="Q9" s="133"/>
      <c r="R9" s="133"/>
    </row>
    <row r="10" spans="1:18" ht="57.6" customHeight="1">
      <c r="A10" s="138" t="s">
        <v>83</v>
      </c>
      <c r="B10" s="138" t="s">
        <v>17</v>
      </c>
      <c r="C10" s="129" t="s">
        <v>84</v>
      </c>
      <c r="D10" s="140" t="s">
        <v>85</v>
      </c>
      <c r="E10" s="140" t="s">
        <v>29</v>
      </c>
      <c r="F10" s="139" t="s">
        <v>21</v>
      </c>
      <c r="G10" s="142" t="s">
        <v>86</v>
      </c>
      <c r="H10" s="143" t="s">
        <v>87</v>
      </c>
      <c r="I10" s="143" t="s">
        <v>88</v>
      </c>
      <c r="J10" s="141" t="s">
        <v>89</v>
      </c>
      <c r="K10" s="141" t="s">
        <v>90</v>
      </c>
      <c r="L10" s="141" t="s">
        <v>91</v>
      </c>
      <c r="M10" s="143" t="s">
        <v>1058</v>
      </c>
      <c r="N10" s="139" t="str">
        <f>VLOOKUP(Table133[[#This Row],[Importance]],'Logic and Calculation'!$H$2:$J$12,3,FALSE)</f>
        <v>High</v>
      </c>
      <c r="O10" s="144">
        <v>8</v>
      </c>
      <c r="P10" s="139">
        <f>VLOOKUP(Table133[[#This Row],[Importance]],'Logic and Calculation'!$H$2:$J$12,2,FALSE)</f>
        <v>-13</v>
      </c>
      <c r="Q10" s="145"/>
      <c r="R10" s="145"/>
    </row>
    <row r="11" spans="1:18" ht="57.6" customHeight="1">
      <c r="A11" s="138" t="s">
        <v>83</v>
      </c>
      <c r="B11" s="138" t="s">
        <v>17</v>
      </c>
      <c r="C11" s="129" t="s">
        <v>92</v>
      </c>
      <c r="D11" s="142" t="s">
        <v>93</v>
      </c>
      <c r="E11" s="140" t="s">
        <v>29</v>
      </c>
      <c r="F11" s="139" t="s">
        <v>21</v>
      </c>
      <c r="G11" s="142" t="s">
        <v>94</v>
      </c>
      <c r="H11" s="143" t="s">
        <v>95</v>
      </c>
      <c r="I11" s="141" t="s">
        <v>96</v>
      </c>
      <c r="J11" s="141" t="s">
        <v>97</v>
      </c>
      <c r="K11" s="141" t="s">
        <v>98</v>
      </c>
      <c r="L11" s="141" t="s">
        <v>99</v>
      </c>
      <c r="M11" s="143" t="s">
        <v>1059</v>
      </c>
      <c r="N11" s="139" t="str">
        <f>VLOOKUP(Table133[[#This Row],[Importance]],'Logic and Calculation'!$H$2:$J$12,3,FALSE)</f>
        <v>Medium</v>
      </c>
      <c r="O11" s="144">
        <v>6</v>
      </c>
      <c r="P11" s="139">
        <f>VLOOKUP(Table133[[#This Row],[Importance]],'Logic and Calculation'!$H$2:$J$12,2,FALSE)</f>
        <v>-9</v>
      </c>
      <c r="Q11" s="145"/>
      <c r="R11" s="145"/>
    </row>
    <row r="12" spans="1:18" ht="57.6" customHeight="1">
      <c r="A12" s="138" t="s">
        <v>83</v>
      </c>
      <c r="B12" s="138" t="s">
        <v>17</v>
      </c>
      <c r="C12" s="129" t="s">
        <v>100</v>
      </c>
      <c r="D12" s="142" t="s">
        <v>1060</v>
      </c>
      <c r="E12" s="140" t="s">
        <v>29</v>
      </c>
      <c r="F12" s="139" t="s">
        <v>21</v>
      </c>
      <c r="G12" s="142" t="s">
        <v>101</v>
      </c>
      <c r="H12" s="143" t="s">
        <v>102</v>
      </c>
      <c r="I12" s="141" t="s">
        <v>103</v>
      </c>
      <c r="J12" s="141" t="s">
        <v>104</v>
      </c>
      <c r="K12" s="141" t="s">
        <v>105</v>
      </c>
      <c r="L12" s="141" t="s">
        <v>106</v>
      </c>
      <c r="M12" s="143" t="s">
        <v>1061</v>
      </c>
      <c r="N12" s="139" t="str">
        <f>VLOOKUP(Table133[[#This Row],[Importance]],'Logic and Calculation'!$H$2:$J$12,3,FALSE)</f>
        <v>High</v>
      </c>
      <c r="O12" s="144">
        <v>9</v>
      </c>
      <c r="P12" s="139">
        <f>VLOOKUP(Table133[[#This Row],[Importance]],'Logic and Calculation'!$H$2:$J$12,2,FALSE)</f>
        <v>-15</v>
      </c>
      <c r="Q12" s="145"/>
      <c r="R12" s="145"/>
    </row>
    <row r="13" spans="1:18" ht="43.2" customHeight="1">
      <c r="A13" s="138" t="s">
        <v>83</v>
      </c>
      <c r="B13" s="138" t="s">
        <v>17</v>
      </c>
      <c r="C13" s="129" t="s">
        <v>107</v>
      </c>
      <c r="D13" s="142" t="s">
        <v>1062</v>
      </c>
      <c r="E13" s="140" t="s">
        <v>29</v>
      </c>
      <c r="F13" s="139" t="s">
        <v>21</v>
      </c>
      <c r="G13" s="142" t="s">
        <v>108</v>
      </c>
      <c r="H13" s="143" t="s">
        <v>109</v>
      </c>
      <c r="I13" s="141" t="s">
        <v>110</v>
      </c>
      <c r="J13" s="141" t="s">
        <v>111</v>
      </c>
      <c r="K13" s="141" t="s">
        <v>112</v>
      </c>
      <c r="L13" s="141" t="s">
        <v>113</v>
      </c>
      <c r="M13" s="143" t="s">
        <v>1063</v>
      </c>
      <c r="N13" s="139" t="str">
        <f>VLOOKUP(Table133[[#This Row],[Importance]],'Logic and Calculation'!$H$2:$J$12,3,FALSE)</f>
        <v>Medium</v>
      </c>
      <c r="O13" s="144">
        <v>6</v>
      </c>
      <c r="P13" s="139">
        <f>VLOOKUP(Table133[[#This Row],[Importance]],'Logic and Calculation'!$H$2:$J$12,2,FALSE)</f>
        <v>-9</v>
      </c>
      <c r="Q13" s="145"/>
      <c r="R13" s="145"/>
    </row>
    <row r="14" spans="1:18" ht="57.6" customHeight="1">
      <c r="A14" s="138" t="s">
        <v>83</v>
      </c>
      <c r="B14" s="138" t="s">
        <v>17</v>
      </c>
      <c r="C14" s="129" t="s">
        <v>114</v>
      </c>
      <c r="D14" s="142" t="s">
        <v>1064</v>
      </c>
      <c r="E14" s="140" t="s">
        <v>29</v>
      </c>
      <c r="F14" s="139" t="s">
        <v>21</v>
      </c>
      <c r="G14" s="142" t="s">
        <v>115</v>
      </c>
      <c r="H14" s="143" t="s">
        <v>116</v>
      </c>
      <c r="I14" s="141" t="s">
        <v>117</v>
      </c>
      <c r="J14" s="141" t="s">
        <v>118</v>
      </c>
      <c r="K14" s="141" t="s">
        <v>119</v>
      </c>
      <c r="L14" s="141" t="s">
        <v>120</v>
      </c>
      <c r="M14" s="143" t="s">
        <v>1065</v>
      </c>
      <c r="N14" s="139" t="str">
        <f>VLOOKUP(Table133[[#This Row],[Importance]],'Logic and Calculation'!$H$2:$J$12,3,FALSE)</f>
        <v>Medium</v>
      </c>
      <c r="O14" s="144">
        <v>7</v>
      </c>
      <c r="P14" s="139">
        <f>VLOOKUP(Table133[[#This Row],[Importance]],'Logic and Calculation'!$H$2:$J$12,2,FALSE)</f>
        <v>-11</v>
      </c>
      <c r="Q14" s="145"/>
      <c r="R14" s="145"/>
    </row>
    <row r="15" spans="1:18" ht="57.6" customHeight="1">
      <c r="A15" s="138" t="s">
        <v>83</v>
      </c>
      <c r="B15" s="138" t="s">
        <v>17</v>
      </c>
      <c r="C15" s="129" t="s">
        <v>121</v>
      </c>
      <c r="D15" s="142" t="s">
        <v>1066</v>
      </c>
      <c r="E15" s="140" t="s">
        <v>29</v>
      </c>
      <c r="F15" s="139" t="s">
        <v>21</v>
      </c>
      <c r="G15" s="142" t="s">
        <v>122</v>
      </c>
      <c r="H15" s="143" t="s">
        <v>123</v>
      </c>
      <c r="I15" s="141" t="s">
        <v>124</v>
      </c>
      <c r="J15" s="141" t="s">
        <v>125</v>
      </c>
      <c r="K15" s="141" t="s">
        <v>126</v>
      </c>
      <c r="L15" s="141" t="s">
        <v>127</v>
      </c>
      <c r="M15" s="143" t="s">
        <v>1067</v>
      </c>
      <c r="N15" s="139" t="str">
        <f>VLOOKUP(Table133[[#This Row],[Importance]],'Logic and Calculation'!$H$2:$J$12,3,FALSE)</f>
        <v>High</v>
      </c>
      <c r="O15" s="144">
        <v>8</v>
      </c>
      <c r="P15" s="139">
        <f>VLOOKUP(Table133[[#This Row],[Importance]],'Logic and Calculation'!$H$2:$J$12,2,FALSE)</f>
        <v>-13</v>
      </c>
      <c r="Q15" s="145"/>
      <c r="R15" s="145"/>
    </row>
    <row r="16" spans="1:18" ht="57.6" customHeight="1">
      <c r="A16" s="138" t="s">
        <v>83</v>
      </c>
      <c r="B16" s="138" t="s">
        <v>17</v>
      </c>
      <c r="C16" s="129" t="s">
        <v>128</v>
      </c>
      <c r="D16" s="143" t="s">
        <v>129</v>
      </c>
      <c r="E16" s="164" t="s">
        <v>20</v>
      </c>
      <c r="F16" s="139" t="s">
        <v>21</v>
      </c>
      <c r="G16" s="143" t="s">
        <v>130</v>
      </c>
      <c r="H16" s="143" t="s">
        <v>131</v>
      </c>
      <c r="I16" s="126" t="s">
        <v>1068</v>
      </c>
      <c r="J16" s="141" t="s">
        <v>132</v>
      </c>
      <c r="K16" s="141" t="s">
        <v>133</v>
      </c>
      <c r="L16" s="141" t="s">
        <v>134</v>
      </c>
      <c r="M16" s="143" t="s">
        <v>1069</v>
      </c>
      <c r="N16" s="139" t="str">
        <f>VLOOKUP(Table133[[#This Row],[Importance]],'Logic and Calculation'!$H$2:$J$12,3,FALSE)</f>
        <v>Medium</v>
      </c>
      <c r="O16" s="143">
        <v>5</v>
      </c>
      <c r="P16" s="139">
        <f>VLOOKUP(Table133[[#This Row],[Importance]],'Logic and Calculation'!$H$2:$J$12,2,FALSE)</f>
        <v>-7</v>
      </c>
      <c r="Q16" s="146"/>
      <c r="R16" s="146"/>
    </row>
    <row r="17" spans="1:18" ht="57.6" customHeight="1">
      <c r="A17" s="138" t="s">
        <v>83</v>
      </c>
      <c r="B17" s="138" t="s">
        <v>17</v>
      </c>
      <c r="C17" s="129" t="s">
        <v>135</v>
      </c>
      <c r="D17" s="143" t="s">
        <v>136</v>
      </c>
      <c r="E17" s="164" t="s">
        <v>20</v>
      </c>
      <c r="F17" s="139" t="s">
        <v>21</v>
      </c>
      <c r="G17" s="143" t="s">
        <v>137</v>
      </c>
      <c r="H17" s="143" t="s">
        <v>138</v>
      </c>
      <c r="I17" s="126" t="s">
        <v>1070</v>
      </c>
      <c r="J17" s="141" t="s">
        <v>139</v>
      </c>
      <c r="K17" s="141" t="s">
        <v>140</v>
      </c>
      <c r="L17" s="141" t="s">
        <v>141</v>
      </c>
      <c r="M17" s="143" t="s">
        <v>1071</v>
      </c>
      <c r="N17" s="139" t="str">
        <f>VLOOKUP(Table133[[#This Row],[Importance]],'Logic and Calculation'!$H$2:$J$12,3,FALSE)</f>
        <v>Medium</v>
      </c>
      <c r="O17" s="143">
        <v>5</v>
      </c>
      <c r="P17" s="139">
        <f>VLOOKUP(Table133[[#This Row],[Importance]],'Logic and Calculation'!$H$2:$J$12,2,FALSE)</f>
        <v>-7</v>
      </c>
      <c r="Q17" s="146"/>
      <c r="R17" s="146"/>
    </row>
    <row r="18" spans="1:18" ht="60" customHeight="1">
      <c r="A18" s="138" t="s">
        <v>83</v>
      </c>
      <c r="B18" s="138" t="s">
        <v>17</v>
      </c>
      <c r="C18" s="129" t="s">
        <v>142</v>
      </c>
      <c r="D18" s="143" t="s">
        <v>143</v>
      </c>
      <c r="E18" s="140" t="s">
        <v>29</v>
      </c>
      <c r="F18" s="139" t="s">
        <v>21</v>
      </c>
      <c r="G18" s="143" t="s">
        <v>144</v>
      </c>
      <c r="H18" s="143" t="s">
        <v>145</v>
      </c>
      <c r="I18" s="143" t="s">
        <v>146</v>
      </c>
      <c r="J18" s="141" t="s">
        <v>147</v>
      </c>
      <c r="K18" s="141" t="s">
        <v>148</v>
      </c>
      <c r="L18" s="141" t="s">
        <v>149</v>
      </c>
      <c r="M18" s="143" t="s">
        <v>1072</v>
      </c>
      <c r="N18" s="139" t="str">
        <f>VLOOKUP(Table133[[#This Row],[Importance]],'Logic and Calculation'!$H$2:$J$12,3,FALSE)</f>
        <v>Medium</v>
      </c>
      <c r="O18" s="143">
        <v>5</v>
      </c>
      <c r="P18" s="139">
        <f>VLOOKUP(Table133[[#This Row],[Importance]],'Logic and Calculation'!$H$2:$J$12,2,FALSE)</f>
        <v>-7</v>
      </c>
      <c r="Q18" s="146"/>
      <c r="R18" s="146"/>
    </row>
    <row r="19" spans="1:18" ht="57.6" customHeight="1">
      <c r="A19" s="138" t="s">
        <v>83</v>
      </c>
      <c r="B19" s="138" t="s">
        <v>17</v>
      </c>
      <c r="C19" s="129" t="s">
        <v>151</v>
      </c>
      <c r="D19" s="143" t="s">
        <v>1007</v>
      </c>
      <c r="E19" s="140" t="s">
        <v>29</v>
      </c>
      <c r="F19" s="139" t="s">
        <v>21</v>
      </c>
      <c r="G19" s="143" t="s">
        <v>1008</v>
      </c>
      <c r="H19" s="143" t="s">
        <v>1009</v>
      </c>
      <c r="I19" s="141" t="s">
        <v>1010</v>
      </c>
      <c r="J19" s="141" t="s">
        <v>1011</v>
      </c>
      <c r="K19" s="141" t="s">
        <v>1012</v>
      </c>
      <c r="L19" s="141" t="s">
        <v>1013</v>
      </c>
      <c r="M19" s="143" t="s">
        <v>1073</v>
      </c>
      <c r="N19" s="139" t="str">
        <f>VLOOKUP(Table133[[#This Row],[Importance]],'Logic and Calculation'!$H$2:$J$12,3,FALSE)</f>
        <v>Visibility</v>
      </c>
      <c r="O19" s="143">
        <v>2</v>
      </c>
      <c r="P19" s="139">
        <f>VLOOKUP(Table133[[#This Row],[Importance]],'Logic and Calculation'!$H$2:$J$12,2,FALSE)</f>
        <v>-2</v>
      </c>
      <c r="Q19" s="146"/>
      <c r="R19" s="146"/>
    </row>
    <row r="20" spans="1:18" ht="72" customHeight="1">
      <c r="A20" s="147" t="s">
        <v>150</v>
      </c>
      <c r="B20" s="147" t="s">
        <v>17</v>
      </c>
      <c r="C20" s="129" t="s">
        <v>159</v>
      </c>
      <c r="D20" s="153" t="s">
        <v>152</v>
      </c>
      <c r="E20" s="165" t="s">
        <v>29</v>
      </c>
      <c r="F20" s="154" t="s">
        <v>21</v>
      </c>
      <c r="G20" s="153" t="s">
        <v>153</v>
      </c>
      <c r="H20" s="153" t="s">
        <v>154</v>
      </c>
      <c r="I20" s="153" t="s">
        <v>155</v>
      </c>
      <c r="J20" s="115" t="s">
        <v>156</v>
      </c>
      <c r="K20" s="115" t="s">
        <v>157</v>
      </c>
      <c r="L20" s="115" t="s">
        <v>158</v>
      </c>
      <c r="M20" s="153" t="s">
        <v>1074</v>
      </c>
      <c r="N20" s="154" t="str">
        <f>VLOOKUP(Table133[[#This Row],[Importance]],'Logic and Calculation'!$H$2:$J$12,3,FALSE)</f>
        <v>High</v>
      </c>
      <c r="O20" s="153">
        <v>8</v>
      </c>
      <c r="P20" s="154">
        <f>VLOOKUP(Table133[[#This Row],[Importance]],'Logic and Calculation'!$H$2:$J$12,2,FALSE)</f>
        <v>-13</v>
      </c>
      <c r="Q20" s="155"/>
      <c r="R20" s="155"/>
    </row>
    <row r="21" spans="1:18" ht="72" customHeight="1">
      <c r="A21" s="147" t="s">
        <v>150</v>
      </c>
      <c r="B21" s="147" t="s">
        <v>17</v>
      </c>
      <c r="C21" s="129" t="s">
        <v>164</v>
      </c>
      <c r="D21" s="153" t="s">
        <v>1075</v>
      </c>
      <c r="E21" s="165" t="s">
        <v>29</v>
      </c>
      <c r="F21" s="154" t="s">
        <v>21</v>
      </c>
      <c r="G21" s="153" t="s">
        <v>160</v>
      </c>
      <c r="H21" s="153" t="s">
        <v>161</v>
      </c>
      <c r="I21" s="153" t="s">
        <v>162</v>
      </c>
      <c r="J21" s="115" t="s">
        <v>163</v>
      </c>
      <c r="K21" s="115" t="s">
        <v>157</v>
      </c>
      <c r="L21" s="115" t="s">
        <v>158</v>
      </c>
      <c r="M21" s="153" t="s">
        <v>1076</v>
      </c>
      <c r="N21" s="154" t="str">
        <f>VLOOKUP(Table133[[#This Row],[Importance]],'Logic and Calculation'!$H$2:$J$12,3,FALSE)</f>
        <v>High</v>
      </c>
      <c r="O21" s="153">
        <v>8</v>
      </c>
      <c r="P21" s="154">
        <f>VLOOKUP(Table133[[#This Row],[Importance]],'Logic and Calculation'!$H$2:$J$12,2,FALSE)</f>
        <v>-13</v>
      </c>
      <c r="Q21" s="155"/>
      <c r="R21" s="155"/>
    </row>
    <row r="22" spans="1:18" ht="142.80000000000001" customHeight="1">
      <c r="A22" s="147" t="s">
        <v>150</v>
      </c>
      <c r="B22" s="147" t="s">
        <v>17</v>
      </c>
      <c r="C22" s="129" t="s">
        <v>171</v>
      </c>
      <c r="D22" s="153" t="s">
        <v>165</v>
      </c>
      <c r="E22" s="165" t="s">
        <v>29</v>
      </c>
      <c r="F22" s="154" t="s">
        <v>21</v>
      </c>
      <c r="G22" s="153" t="s">
        <v>166</v>
      </c>
      <c r="H22" s="153" t="s">
        <v>167</v>
      </c>
      <c r="I22" s="115" t="s">
        <v>1287</v>
      </c>
      <c r="J22" s="115" t="s">
        <v>168</v>
      </c>
      <c r="K22" s="115" t="s">
        <v>169</v>
      </c>
      <c r="L22" s="115" t="s">
        <v>170</v>
      </c>
      <c r="M22" s="153" t="s">
        <v>1077</v>
      </c>
      <c r="N22" s="154" t="str">
        <f>VLOOKUP(Table133[[#This Row],[Importance]],'Logic and Calculation'!$H$2:$J$12,3,FALSE)</f>
        <v>Medium</v>
      </c>
      <c r="O22" s="153">
        <v>5</v>
      </c>
      <c r="P22" s="154">
        <f>VLOOKUP(Table133[[#This Row],[Importance]],'Logic and Calculation'!$H$2:$J$12,2,FALSE)</f>
        <v>-7</v>
      </c>
      <c r="Q22" s="155"/>
      <c r="R22" s="155"/>
    </row>
    <row r="23" spans="1:18" ht="72" customHeight="1">
      <c r="A23" s="147" t="s">
        <v>150</v>
      </c>
      <c r="B23" s="147" t="s">
        <v>17</v>
      </c>
      <c r="C23" s="129" t="s">
        <v>178</v>
      </c>
      <c r="D23" s="153" t="s">
        <v>1078</v>
      </c>
      <c r="E23" s="165" t="s">
        <v>29</v>
      </c>
      <c r="F23" s="154" t="s">
        <v>21</v>
      </c>
      <c r="G23" s="153" t="s">
        <v>172</v>
      </c>
      <c r="H23" s="153" t="s">
        <v>173</v>
      </c>
      <c r="I23" s="153" t="s">
        <v>174</v>
      </c>
      <c r="J23" s="115" t="s">
        <v>175</v>
      </c>
      <c r="K23" s="115" t="s">
        <v>176</v>
      </c>
      <c r="L23" s="115" t="s">
        <v>177</v>
      </c>
      <c r="M23" s="153" t="s">
        <v>1079</v>
      </c>
      <c r="N23" s="154" t="str">
        <f>VLOOKUP(Table133[[#This Row],[Importance]],'Logic and Calculation'!$H$2:$J$12,3,FALSE)</f>
        <v>Critical</v>
      </c>
      <c r="O23" s="153">
        <v>10</v>
      </c>
      <c r="P23" s="154">
        <f>VLOOKUP(Table133[[#This Row],[Importance]],'Logic and Calculation'!$H$2:$J$12,2,FALSE)</f>
        <v>-18</v>
      </c>
      <c r="Q23" s="155"/>
      <c r="R23" s="155"/>
    </row>
    <row r="24" spans="1:18" ht="43.2" customHeight="1">
      <c r="A24" s="147" t="s">
        <v>150</v>
      </c>
      <c r="B24" s="147" t="s">
        <v>17</v>
      </c>
      <c r="C24" s="129" t="s">
        <v>185</v>
      </c>
      <c r="D24" s="153" t="s">
        <v>1080</v>
      </c>
      <c r="E24" s="165" t="s">
        <v>29</v>
      </c>
      <c r="F24" s="154" t="s">
        <v>21</v>
      </c>
      <c r="G24" s="153" t="s">
        <v>179</v>
      </c>
      <c r="H24" s="153" t="s">
        <v>180</v>
      </c>
      <c r="I24" s="115" t="s">
        <v>181</v>
      </c>
      <c r="J24" s="115" t="s">
        <v>182</v>
      </c>
      <c r="K24" s="115" t="s">
        <v>183</v>
      </c>
      <c r="L24" s="115" t="s">
        <v>184</v>
      </c>
      <c r="M24" s="153" t="s">
        <v>1081</v>
      </c>
      <c r="N24" s="154" t="str">
        <f>VLOOKUP(Table133[[#This Row],[Importance]],'Logic and Calculation'!$H$2:$J$12,3,FALSE)</f>
        <v>Medium</v>
      </c>
      <c r="O24" s="153">
        <v>5</v>
      </c>
      <c r="P24" s="154">
        <f>VLOOKUP(Table133[[#This Row],[Importance]],'Logic and Calculation'!$H$2:$J$12,2,FALSE)</f>
        <v>-7</v>
      </c>
      <c r="Q24" s="155"/>
      <c r="R24" s="155"/>
    </row>
    <row r="25" spans="1:18" ht="43.2" customHeight="1">
      <c r="A25" s="147" t="s">
        <v>150</v>
      </c>
      <c r="B25" s="147" t="s">
        <v>17</v>
      </c>
      <c r="C25" s="129" t="s">
        <v>186</v>
      </c>
      <c r="D25" s="153" t="s">
        <v>1028</v>
      </c>
      <c r="E25" s="165" t="s">
        <v>29</v>
      </c>
      <c r="F25" s="154" t="s">
        <v>21</v>
      </c>
      <c r="G25" s="153" t="s">
        <v>1029</v>
      </c>
      <c r="H25" s="153" t="s">
        <v>1030</v>
      </c>
      <c r="I25" s="115" t="s">
        <v>1031</v>
      </c>
      <c r="J25" s="115" t="s">
        <v>1032</v>
      </c>
      <c r="K25" s="115" t="s">
        <v>1033</v>
      </c>
      <c r="L25" s="115" t="s">
        <v>1034</v>
      </c>
      <c r="M25" s="153" t="s">
        <v>1082</v>
      </c>
      <c r="N25" s="154" t="str">
        <f>VLOOKUP(Table133[[#This Row],[Importance]],'Logic and Calculation'!$H$2:$J$12,3,FALSE)</f>
        <v>High</v>
      </c>
      <c r="O25" s="153">
        <v>9</v>
      </c>
      <c r="P25" s="154">
        <f>VLOOKUP(Table133[[#This Row],[Importance]],'Logic and Calculation'!$H$2:$J$12,2,FALSE)</f>
        <v>-15</v>
      </c>
      <c r="Q25" s="155"/>
      <c r="R25" s="155"/>
    </row>
    <row r="26" spans="1:18" ht="57.6" customHeight="1">
      <c r="A26" s="147" t="s">
        <v>150</v>
      </c>
      <c r="B26" s="147" t="s">
        <v>17</v>
      </c>
      <c r="C26" s="129" t="s">
        <v>193</v>
      </c>
      <c r="D26" s="153" t="s">
        <v>187</v>
      </c>
      <c r="E26" s="164" t="s">
        <v>20</v>
      </c>
      <c r="F26" s="154" t="s">
        <v>21</v>
      </c>
      <c r="G26" s="153" t="s">
        <v>188</v>
      </c>
      <c r="H26" s="153" t="s">
        <v>189</v>
      </c>
      <c r="I26" s="125" t="s">
        <v>1083</v>
      </c>
      <c r="J26" s="115" t="s">
        <v>190</v>
      </c>
      <c r="K26" s="115" t="s">
        <v>191</v>
      </c>
      <c r="L26" s="115" t="s">
        <v>192</v>
      </c>
      <c r="M26" s="153" t="s">
        <v>1084</v>
      </c>
      <c r="N26" s="154" t="str">
        <f>VLOOKUP(Table133[[#This Row],[Importance]],'Logic and Calculation'!$H$2:$J$12,3,FALSE)</f>
        <v>Low</v>
      </c>
      <c r="O26" s="153">
        <v>3</v>
      </c>
      <c r="P26" s="154">
        <f>VLOOKUP(Table133[[#This Row],[Importance]],'Logic and Calculation'!$H$2:$J$12,2,FALSE)</f>
        <v>-3</v>
      </c>
      <c r="Q26" s="155"/>
      <c r="R26" s="155"/>
    </row>
    <row r="27" spans="1:18" ht="43.2" customHeight="1">
      <c r="A27" s="148" t="s">
        <v>1085</v>
      </c>
      <c r="B27" s="148" t="s">
        <v>17</v>
      </c>
      <c r="C27" s="129" t="s">
        <v>200</v>
      </c>
      <c r="D27" s="149" t="s">
        <v>194</v>
      </c>
      <c r="E27" s="164" t="s">
        <v>20</v>
      </c>
      <c r="F27" s="151" t="s">
        <v>21</v>
      </c>
      <c r="G27" s="149" t="s">
        <v>195</v>
      </c>
      <c r="H27" s="149" t="s">
        <v>196</v>
      </c>
      <c r="I27" s="125" t="s">
        <v>1086</v>
      </c>
      <c r="J27" s="150" t="s">
        <v>197</v>
      </c>
      <c r="K27" s="150" t="s">
        <v>198</v>
      </c>
      <c r="L27" s="150" t="s">
        <v>199</v>
      </c>
      <c r="M27" s="149" t="s">
        <v>1087</v>
      </c>
      <c r="N27" s="151" t="str">
        <f>VLOOKUP(Table133[[#This Row],[Importance]],'Logic and Calculation'!$H$2:$J$12,3,FALSE)</f>
        <v>Medium</v>
      </c>
      <c r="O27" s="149">
        <v>5</v>
      </c>
      <c r="P27" s="151">
        <f>VLOOKUP(Table133[[#This Row],[Importance]],'Logic and Calculation'!$H$2:$J$12,2,FALSE)</f>
        <v>-7</v>
      </c>
      <c r="Q27" s="152"/>
      <c r="R27" s="152"/>
    </row>
    <row r="28" spans="1:18" ht="43.2" customHeight="1">
      <c r="A28" s="148" t="s">
        <v>1085</v>
      </c>
      <c r="B28" s="148" t="s">
        <v>17</v>
      </c>
      <c r="C28" s="129" t="s">
        <v>207</v>
      </c>
      <c r="D28" s="149" t="s">
        <v>201</v>
      </c>
      <c r="E28" s="164" t="s">
        <v>20</v>
      </c>
      <c r="F28" s="151" t="s">
        <v>21</v>
      </c>
      <c r="G28" s="149" t="s">
        <v>202</v>
      </c>
      <c r="H28" s="149" t="s">
        <v>203</v>
      </c>
      <c r="I28" s="125" t="s">
        <v>20</v>
      </c>
      <c r="J28" s="150" t="s">
        <v>204</v>
      </c>
      <c r="K28" s="150" t="s">
        <v>205</v>
      </c>
      <c r="L28" s="150" t="s">
        <v>206</v>
      </c>
      <c r="M28" s="149" t="s">
        <v>1088</v>
      </c>
      <c r="N28" s="151" t="str">
        <f>VLOOKUP(Table133[[#This Row],[Importance]],'Logic and Calculation'!$H$2:$J$12,3,FALSE)</f>
        <v>Medium</v>
      </c>
      <c r="O28" s="149">
        <v>5</v>
      </c>
      <c r="P28" s="151">
        <f>VLOOKUP(Table133[[#This Row],[Importance]],'Logic and Calculation'!$H$2:$J$12,2,FALSE)</f>
        <v>-7</v>
      </c>
      <c r="Q28" s="152"/>
      <c r="R28" s="152"/>
    </row>
    <row r="29" spans="1:18" ht="72" customHeight="1">
      <c r="A29" s="148" t="s">
        <v>1085</v>
      </c>
      <c r="B29" s="148" t="s">
        <v>17</v>
      </c>
      <c r="C29" s="129" t="s">
        <v>214</v>
      </c>
      <c r="D29" s="149" t="s">
        <v>208</v>
      </c>
      <c r="E29" s="164" t="s">
        <v>20</v>
      </c>
      <c r="F29" s="151" t="s">
        <v>21</v>
      </c>
      <c r="G29" s="149" t="s">
        <v>209</v>
      </c>
      <c r="H29" s="149" t="s">
        <v>210</v>
      </c>
      <c r="I29" s="127" t="s">
        <v>1089</v>
      </c>
      <c r="J29" s="150" t="s">
        <v>211</v>
      </c>
      <c r="K29" s="150" t="s">
        <v>212</v>
      </c>
      <c r="L29" s="150" t="s">
        <v>213</v>
      </c>
      <c r="M29" s="149" t="s">
        <v>1090</v>
      </c>
      <c r="N29" s="151" t="str">
        <f>VLOOKUP(Table133[[#This Row],[Importance]],'Logic and Calculation'!$H$2:$J$12,3,FALSE)</f>
        <v>Medium</v>
      </c>
      <c r="O29" s="149">
        <v>5</v>
      </c>
      <c r="P29" s="151">
        <f>VLOOKUP(Table133[[#This Row],[Importance]],'Logic and Calculation'!$H$2:$J$12,2,FALSE)</f>
        <v>-7</v>
      </c>
      <c r="Q29" s="152"/>
      <c r="R29" s="152"/>
    </row>
    <row r="30" spans="1:18" ht="72" customHeight="1">
      <c r="A30" s="148" t="s">
        <v>1085</v>
      </c>
      <c r="B30" s="148" t="s">
        <v>17</v>
      </c>
      <c r="C30" s="129" t="s">
        <v>221</v>
      </c>
      <c r="D30" s="149" t="s">
        <v>215</v>
      </c>
      <c r="E30" s="164" t="s">
        <v>20</v>
      </c>
      <c r="F30" s="151" t="s">
        <v>21</v>
      </c>
      <c r="G30" s="149" t="s">
        <v>216</v>
      </c>
      <c r="H30" s="149" t="s">
        <v>217</v>
      </c>
      <c r="I30" s="127" t="s">
        <v>1091</v>
      </c>
      <c r="J30" s="150" t="s">
        <v>1240</v>
      </c>
      <c r="K30" s="150" t="s">
        <v>218</v>
      </c>
      <c r="L30" s="150" t="s">
        <v>1241</v>
      </c>
      <c r="M30" s="149" t="s">
        <v>1092</v>
      </c>
      <c r="N30" s="151" t="str">
        <f>VLOOKUP(Table133[[#This Row],[Importance]],'Logic and Calculation'!$H$2:$J$12,3,FALSE)</f>
        <v>Medium</v>
      </c>
      <c r="O30" s="149">
        <v>5</v>
      </c>
      <c r="P30" s="151">
        <f>VLOOKUP(Table133[[#This Row],[Importance]],'Logic and Calculation'!$H$2:$J$12,2,FALSE)</f>
        <v>-7</v>
      </c>
      <c r="Q30" s="152"/>
      <c r="R30" s="152"/>
    </row>
    <row r="31" spans="1:18" ht="60" customHeight="1">
      <c r="A31" s="156" t="s">
        <v>219</v>
      </c>
      <c r="B31" s="156" t="s">
        <v>220</v>
      </c>
      <c r="C31" s="129" t="s">
        <v>228</v>
      </c>
      <c r="D31" s="157" t="s">
        <v>222</v>
      </c>
      <c r="E31" s="166" t="s">
        <v>29</v>
      </c>
      <c r="F31" s="158" t="s">
        <v>21</v>
      </c>
      <c r="G31" s="157" t="s">
        <v>223</v>
      </c>
      <c r="H31" s="157" t="s">
        <v>224</v>
      </c>
      <c r="I31" s="157" t="s">
        <v>225</v>
      </c>
      <c r="J31" s="118" t="s">
        <v>226</v>
      </c>
      <c r="K31" s="118" t="s">
        <v>227</v>
      </c>
      <c r="L31" s="118" t="s">
        <v>1242</v>
      </c>
      <c r="M31" s="157" t="s">
        <v>1093</v>
      </c>
      <c r="N31" s="158" t="str">
        <f>VLOOKUP(Table133[[#This Row],[Importance]],'Logic and Calculation'!$H$2:$J$12,3,FALSE)</f>
        <v>High</v>
      </c>
      <c r="O31" s="157">
        <v>8</v>
      </c>
      <c r="P31" s="158">
        <f>VLOOKUP(Table133[[#This Row],[Importance]],'Logic and Calculation'!$H$2:$J$12,2,FALSE)</f>
        <v>-13</v>
      </c>
      <c r="Q31" s="159"/>
      <c r="R31" s="159"/>
    </row>
    <row r="32" spans="1:18" ht="60" customHeight="1">
      <c r="A32" s="156" t="s">
        <v>219</v>
      </c>
      <c r="B32" s="156" t="s">
        <v>220</v>
      </c>
      <c r="C32" s="129" t="s">
        <v>236</v>
      </c>
      <c r="D32" s="157" t="s">
        <v>229</v>
      </c>
      <c r="E32" s="166" t="s">
        <v>29</v>
      </c>
      <c r="F32" s="158" t="s">
        <v>21</v>
      </c>
      <c r="G32" s="157" t="s">
        <v>230</v>
      </c>
      <c r="H32" s="157" t="s">
        <v>231</v>
      </c>
      <c r="I32" s="157" t="s">
        <v>232</v>
      </c>
      <c r="J32" s="118" t="s">
        <v>233</v>
      </c>
      <c r="K32" s="118" t="s">
        <v>234</v>
      </c>
      <c r="L32" s="118" t="s">
        <v>235</v>
      </c>
      <c r="M32" s="157" t="s">
        <v>1094</v>
      </c>
      <c r="N32" s="158" t="str">
        <f>VLOOKUP(Table133[[#This Row],[Importance]],'Logic and Calculation'!$H$2:$J$12,3,FALSE)</f>
        <v>Medium</v>
      </c>
      <c r="O32" s="157">
        <v>5</v>
      </c>
      <c r="P32" s="158">
        <f>VLOOKUP(Table133[[#This Row],[Importance]],'Logic and Calculation'!$H$2:$J$12,2,FALSE)</f>
        <v>-7</v>
      </c>
      <c r="Q32" s="159"/>
      <c r="R32" s="159"/>
    </row>
    <row r="33" spans="1:18" ht="43.2" customHeight="1">
      <c r="A33" s="156" t="s">
        <v>219</v>
      </c>
      <c r="B33" s="156" t="s">
        <v>220</v>
      </c>
      <c r="C33" s="129" t="s">
        <v>243</v>
      </c>
      <c r="D33" s="157" t="s">
        <v>1095</v>
      </c>
      <c r="E33" s="166" t="s">
        <v>29</v>
      </c>
      <c r="F33" s="158" t="s">
        <v>21</v>
      </c>
      <c r="G33" s="157" t="s">
        <v>237</v>
      </c>
      <c r="H33" s="157" t="s">
        <v>238</v>
      </c>
      <c r="I33" s="118" t="s">
        <v>239</v>
      </c>
      <c r="J33" s="118" t="s">
        <v>240</v>
      </c>
      <c r="K33" s="118" t="s">
        <v>241</v>
      </c>
      <c r="L33" s="118" t="s">
        <v>242</v>
      </c>
      <c r="M33" s="157" t="s">
        <v>1096</v>
      </c>
      <c r="N33" s="158" t="str">
        <f>VLOOKUP(Table133[[#This Row],[Importance]],'Logic and Calculation'!$H$2:$J$12,3,FALSE)</f>
        <v>Medium</v>
      </c>
      <c r="O33" s="157">
        <v>5</v>
      </c>
      <c r="P33" s="158">
        <f>VLOOKUP(Table133[[#This Row],[Importance]],'Logic and Calculation'!$H$2:$J$12,2,FALSE)</f>
        <v>-7</v>
      </c>
      <c r="Q33" s="159"/>
      <c r="R33" s="159"/>
    </row>
    <row r="34" spans="1:18" ht="43.2" customHeight="1">
      <c r="A34" s="156" t="s">
        <v>219</v>
      </c>
      <c r="B34" s="156" t="s">
        <v>220</v>
      </c>
      <c r="C34" s="129" t="s">
        <v>251</v>
      </c>
      <c r="D34" s="157" t="s">
        <v>244</v>
      </c>
      <c r="E34" s="166" t="s">
        <v>29</v>
      </c>
      <c r="F34" s="158" t="s">
        <v>21</v>
      </c>
      <c r="G34" s="157" t="s">
        <v>245</v>
      </c>
      <c r="H34" s="157" t="s">
        <v>246</v>
      </c>
      <c r="I34" s="118" t="s">
        <v>247</v>
      </c>
      <c r="J34" s="118" t="s">
        <v>248</v>
      </c>
      <c r="K34" s="118" t="s">
        <v>249</v>
      </c>
      <c r="L34" s="118" t="s">
        <v>250</v>
      </c>
      <c r="M34" s="157" t="s">
        <v>1097</v>
      </c>
      <c r="N34" s="158" t="str">
        <f>VLOOKUP(Table133[[#This Row],[Importance]],'Logic and Calculation'!$H$2:$J$12,3,FALSE)</f>
        <v>Medium</v>
      </c>
      <c r="O34" s="157">
        <v>5</v>
      </c>
      <c r="P34" s="158">
        <f>VLOOKUP(Table133[[#This Row],[Importance]],'Logic and Calculation'!$H$2:$J$12,2,FALSE)</f>
        <v>-7</v>
      </c>
      <c r="Q34" s="159"/>
      <c r="R34" s="159"/>
    </row>
    <row r="35" spans="1:18" ht="43.2" customHeight="1">
      <c r="A35" s="156" t="s">
        <v>219</v>
      </c>
      <c r="B35" s="156" t="s">
        <v>220</v>
      </c>
      <c r="C35" s="129" t="s">
        <v>259</v>
      </c>
      <c r="D35" s="157" t="s">
        <v>252</v>
      </c>
      <c r="E35" s="127" t="s">
        <v>20</v>
      </c>
      <c r="F35" s="158" t="s">
        <v>21</v>
      </c>
      <c r="G35" s="157" t="s">
        <v>253</v>
      </c>
      <c r="H35" s="157" t="s">
        <v>254</v>
      </c>
      <c r="I35" s="125" t="s">
        <v>20</v>
      </c>
      <c r="J35" s="118" t="s">
        <v>255</v>
      </c>
      <c r="K35" s="118" t="s">
        <v>256</v>
      </c>
      <c r="L35" s="118" t="s">
        <v>257</v>
      </c>
      <c r="M35" s="157" t="s">
        <v>1098</v>
      </c>
      <c r="N35" s="158" t="str">
        <f>VLOOKUP(Table133[[#This Row],[Importance]],'Logic and Calculation'!$H$2:$J$12,3,FALSE)</f>
        <v>Medium</v>
      </c>
      <c r="O35" s="157">
        <v>5</v>
      </c>
      <c r="P35" s="158">
        <f>VLOOKUP(Table133[[#This Row],[Importance]],'Logic and Calculation'!$H$2:$J$12,2,FALSE)</f>
        <v>-7</v>
      </c>
      <c r="Q35" s="159"/>
      <c r="R35" s="159"/>
    </row>
    <row r="36" spans="1:18" ht="72" customHeight="1">
      <c r="A36" s="156" t="s">
        <v>219</v>
      </c>
      <c r="B36" s="156" t="s">
        <v>220</v>
      </c>
      <c r="C36" s="129" t="s">
        <v>266</v>
      </c>
      <c r="D36" s="157" t="s">
        <v>1288</v>
      </c>
      <c r="E36" s="166" t="s">
        <v>29</v>
      </c>
      <c r="F36" s="158" t="s">
        <v>21</v>
      </c>
      <c r="G36" s="157" t="s">
        <v>1289</v>
      </c>
      <c r="H36" s="157" t="s">
        <v>1290</v>
      </c>
      <c r="I36" s="118" t="s">
        <v>1291</v>
      </c>
      <c r="J36" s="118" t="s">
        <v>263</v>
      </c>
      <c r="K36" s="118" t="s">
        <v>264</v>
      </c>
      <c r="L36" s="118" t="s">
        <v>265</v>
      </c>
      <c r="M36" s="157" t="s">
        <v>1100</v>
      </c>
      <c r="N36" s="158" t="str">
        <f>VLOOKUP(Table133[[#This Row],[Importance]],'Logic and Calculation'!$H$2:$J$12,3,FALSE)</f>
        <v>Medium</v>
      </c>
      <c r="O36" s="157">
        <v>5</v>
      </c>
      <c r="P36" s="158">
        <f>VLOOKUP(Table133[[#This Row],[Importance]],'Logic and Calculation'!$H$2:$J$12,2,FALSE)</f>
        <v>-7</v>
      </c>
      <c r="Q36" s="159"/>
      <c r="R36" s="159"/>
    </row>
    <row r="37" spans="1:18" ht="43.2" customHeight="1">
      <c r="A37" s="167" t="s">
        <v>270</v>
      </c>
      <c r="B37" s="167" t="s">
        <v>220</v>
      </c>
      <c r="C37" s="129" t="s">
        <v>271</v>
      </c>
      <c r="D37" s="168" t="s">
        <v>272</v>
      </c>
      <c r="E37" s="169" t="s">
        <v>20</v>
      </c>
      <c r="F37" s="170" t="s">
        <v>21</v>
      </c>
      <c r="G37" s="168" t="s">
        <v>273</v>
      </c>
      <c r="H37" s="168" t="s">
        <v>274</v>
      </c>
      <c r="I37" s="117" t="s">
        <v>1292</v>
      </c>
      <c r="J37" s="117" t="s">
        <v>275</v>
      </c>
      <c r="K37" s="117" t="s">
        <v>276</v>
      </c>
      <c r="L37" s="117" t="s">
        <v>277</v>
      </c>
      <c r="M37" s="168" t="s">
        <v>1103</v>
      </c>
      <c r="N37" s="170" t="str">
        <f>VLOOKUP(Table133[[#This Row],[Importance]],'Logic and Calculation'!$H$2:$J$12,3,FALSE)</f>
        <v>Medium</v>
      </c>
      <c r="O37" s="168">
        <v>5</v>
      </c>
      <c r="P37" s="170">
        <f>VLOOKUP(Table133[[#This Row],[Importance]],'Logic and Calculation'!$H$2:$J$12,2,FALSE)</f>
        <v>-7</v>
      </c>
      <c r="Q37" s="171"/>
      <c r="R37" s="124"/>
    </row>
    <row r="38" spans="1:18" ht="72" customHeight="1">
      <c r="A38" s="167" t="s">
        <v>270</v>
      </c>
      <c r="B38" s="167" t="s">
        <v>220</v>
      </c>
      <c r="C38" s="129" t="s">
        <v>278</v>
      </c>
      <c r="D38" s="168" t="s">
        <v>1104</v>
      </c>
      <c r="E38" s="169" t="s">
        <v>29</v>
      </c>
      <c r="F38" s="170" t="s">
        <v>21</v>
      </c>
      <c r="G38" s="168" t="s">
        <v>279</v>
      </c>
      <c r="H38" s="168" t="s">
        <v>280</v>
      </c>
      <c r="I38" s="168" t="s">
        <v>281</v>
      </c>
      <c r="J38" s="117" t="s">
        <v>282</v>
      </c>
      <c r="K38" s="117" t="s">
        <v>283</v>
      </c>
      <c r="L38" s="117" t="s">
        <v>284</v>
      </c>
      <c r="M38" s="168" t="s">
        <v>1105</v>
      </c>
      <c r="N38" s="170" t="str">
        <f>VLOOKUP(Table133[[#This Row],[Importance]],'Logic and Calculation'!$H$2:$J$12,3,FALSE)</f>
        <v>Medium</v>
      </c>
      <c r="O38" s="168">
        <v>5</v>
      </c>
      <c r="P38" s="170">
        <f>VLOOKUP(Table133[[#This Row],[Importance]],'Logic and Calculation'!$H$2:$J$12,2,FALSE)</f>
        <v>-7</v>
      </c>
      <c r="Q38" s="171"/>
      <c r="R38" s="124"/>
    </row>
    <row r="39" spans="1:18" ht="43.2" customHeight="1">
      <c r="A39" s="167" t="s">
        <v>270</v>
      </c>
      <c r="B39" s="167" t="s">
        <v>220</v>
      </c>
      <c r="C39" s="129" t="s">
        <v>285</v>
      </c>
      <c r="D39" s="168" t="s">
        <v>1106</v>
      </c>
      <c r="E39" s="169" t="s">
        <v>29</v>
      </c>
      <c r="F39" s="170" t="s">
        <v>21</v>
      </c>
      <c r="G39" s="168" t="s">
        <v>286</v>
      </c>
      <c r="H39" s="168" t="s">
        <v>287</v>
      </c>
      <c r="I39" s="117" t="s">
        <v>288</v>
      </c>
      <c r="J39" s="117" t="s">
        <v>289</v>
      </c>
      <c r="K39" s="117" t="s">
        <v>290</v>
      </c>
      <c r="L39" s="117" t="s">
        <v>291</v>
      </c>
      <c r="M39" s="168" t="s">
        <v>1107</v>
      </c>
      <c r="N39" s="170" t="str">
        <f>VLOOKUP(Table133[[#This Row],[Importance]],'Logic and Calculation'!$H$2:$J$12,3,FALSE)</f>
        <v>Medium</v>
      </c>
      <c r="O39" s="168">
        <v>5</v>
      </c>
      <c r="P39" s="170">
        <f>VLOOKUP(Table133[[#This Row],[Importance]],'Logic and Calculation'!$H$2:$J$12,2,FALSE)</f>
        <v>-7</v>
      </c>
      <c r="Q39" s="171"/>
      <c r="R39" s="124"/>
    </row>
    <row r="40" spans="1:18" ht="43.2" customHeight="1">
      <c r="A40" s="167" t="s">
        <v>270</v>
      </c>
      <c r="B40" s="167" t="s">
        <v>220</v>
      </c>
      <c r="C40" s="129" t="s">
        <v>292</v>
      </c>
      <c r="D40" s="168" t="s">
        <v>293</v>
      </c>
      <c r="E40" s="169" t="s">
        <v>29</v>
      </c>
      <c r="F40" s="170" t="s">
        <v>21</v>
      </c>
      <c r="G40" s="168" t="s">
        <v>294</v>
      </c>
      <c r="H40" s="168" t="s">
        <v>295</v>
      </c>
      <c r="I40" s="117" t="s">
        <v>1293</v>
      </c>
      <c r="J40" s="117" t="s">
        <v>296</v>
      </c>
      <c r="K40" s="117" t="s">
        <v>297</v>
      </c>
      <c r="L40" s="117" t="s">
        <v>298</v>
      </c>
      <c r="M40" s="168" t="s">
        <v>1108</v>
      </c>
      <c r="N40" s="170" t="str">
        <f>VLOOKUP(Table133[[#This Row],[Importance]],'Logic and Calculation'!$H$2:$J$12,3,FALSE)</f>
        <v>Medium</v>
      </c>
      <c r="O40" s="168">
        <v>5</v>
      </c>
      <c r="P40" s="170">
        <f>VLOOKUP(Table133[[#This Row],[Importance]],'Logic and Calculation'!$H$2:$J$12,2,FALSE)</f>
        <v>-7</v>
      </c>
      <c r="Q40" s="171"/>
      <c r="R40" s="124"/>
    </row>
    <row r="41" spans="1:18" ht="57.6" customHeight="1">
      <c r="A41" s="167" t="s">
        <v>270</v>
      </c>
      <c r="B41" s="167" t="s">
        <v>220</v>
      </c>
      <c r="C41" s="129" t="s">
        <v>299</v>
      </c>
      <c r="D41" s="168" t="s">
        <v>300</v>
      </c>
      <c r="E41" s="164" t="s">
        <v>20</v>
      </c>
      <c r="F41" s="170" t="s">
        <v>21</v>
      </c>
      <c r="G41" s="168" t="s">
        <v>301</v>
      </c>
      <c r="H41" s="168" t="s">
        <v>302</v>
      </c>
      <c r="I41" s="125" t="s">
        <v>1109</v>
      </c>
      <c r="J41" s="117" t="s">
        <v>303</v>
      </c>
      <c r="K41" s="117" t="s">
        <v>304</v>
      </c>
      <c r="L41" s="117" t="s">
        <v>305</v>
      </c>
      <c r="M41" s="168" t="s">
        <v>1110</v>
      </c>
      <c r="N41" s="170" t="str">
        <f>VLOOKUP(Table133[[#This Row],[Importance]],'Logic and Calculation'!$H$2:$J$12,3,FALSE)</f>
        <v>Medium</v>
      </c>
      <c r="O41" s="168">
        <v>5</v>
      </c>
      <c r="P41" s="170">
        <f>VLOOKUP(Table133[[#This Row],[Importance]],'Logic and Calculation'!$H$2:$J$12,2,FALSE)</f>
        <v>-7</v>
      </c>
      <c r="Q41" s="171"/>
      <c r="R41" s="124"/>
    </row>
    <row r="42" spans="1:18" ht="57.6" customHeight="1">
      <c r="A42" s="167" t="s">
        <v>270</v>
      </c>
      <c r="B42" s="167" t="s">
        <v>220</v>
      </c>
      <c r="C42" s="129" t="s">
        <v>306</v>
      </c>
      <c r="D42" s="168" t="s">
        <v>307</v>
      </c>
      <c r="E42" s="169" t="s">
        <v>29</v>
      </c>
      <c r="F42" s="170" t="s">
        <v>21</v>
      </c>
      <c r="G42" s="168" t="s">
        <v>308</v>
      </c>
      <c r="H42" s="168" t="s">
        <v>309</v>
      </c>
      <c r="I42" s="117" t="s">
        <v>1294</v>
      </c>
      <c r="J42" s="117" t="s">
        <v>310</v>
      </c>
      <c r="K42" s="117" t="s">
        <v>311</v>
      </c>
      <c r="L42" s="117" t="s">
        <v>312</v>
      </c>
      <c r="M42" s="168" t="s">
        <v>1111</v>
      </c>
      <c r="N42" s="170" t="str">
        <f>VLOOKUP(Table133[[#This Row],[Importance]],'Logic and Calculation'!$H$2:$J$12,3,FALSE)</f>
        <v>Medium</v>
      </c>
      <c r="O42" s="168">
        <v>5</v>
      </c>
      <c r="P42" s="170">
        <f>VLOOKUP(Table133[[#This Row],[Importance]],'Logic and Calculation'!$H$2:$J$12,2,FALSE)</f>
        <v>-7</v>
      </c>
      <c r="Q42" s="171"/>
      <c r="R42" s="124"/>
    </row>
    <row r="43" spans="1:18" ht="60" customHeight="1">
      <c r="A43" s="167" t="s">
        <v>270</v>
      </c>
      <c r="B43" s="167" t="s">
        <v>220</v>
      </c>
      <c r="C43" s="129" t="s">
        <v>313</v>
      </c>
      <c r="D43" s="168"/>
      <c r="E43" s="169" t="s">
        <v>29</v>
      </c>
      <c r="F43" s="170" t="s">
        <v>21</v>
      </c>
      <c r="G43" s="168"/>
      <c r="H43" s="168"/>
      <c r="I43" s="168"/>
      <c r="J43" s="117" t="s">
        <v>321</v>
      </c>
      <c r="K43" s="117" t="s">
        <v>322</v>
      </c>
      <c r="L43" s="117" t="s">
        <v>323</v>
      </c>
      <c r="M43" s="168" t="s">
        <v>1115</v>
      </c>
      <c r="N43" s="170" t="str">
        <f>VLOOKUP(Table133[[#This Row],[Importance]],'Logic and Calculation'!$H$2:$J$12,3,FALSE)</f>
        <v>Medium</v>
      </c>
      <c r="O43" s="168">
        <v>5</v>
      </c>
      <c r="P43" s="170">
        <f>VLOOKUP(Table133[[#This Row],[Importance]],'Logic and Calculation'!$H$2:$J$12,2,FALSE)</f>
        <v>-7</v>
      </c>
      <c r="Q43" s="171"/>
      <c r="R43" s="124"/>
    </row>
    <row r="44" spans="1:18" ht="43.2" customHeight="1">
      <c r="A44" s="167" t="s">
        <v>270</v>
      </c>
      <c r="B44" s="167" t="s">
        <v>220</v>
      </c>
      <c r="C44" s="129" t="s">
        <v>317</v>
      </c>
      <c r="D44" s="168" t="s">
        <v>325</v>
      </c>
      <c r="E44" s="164" t="s">
        <v>20</v>
      </c>
      <c r="F44" s="170" t="s">
        <v>21</v>
      </c>
      <c r="G44" s="168" t="s">
        <v>326</v>
      </c>
      <c r="H44" s="168" t="s">
        <v>327</v>
      </c>
      <c r="I44" s="125" t="s">
        <v>1116</v>
      </c>
      <c r="J44" s="117" t="s">
        <v>328</v>
      </c>
      <c r="K44" s="117" t="s">
        <v>329</v>
      </c>
      <c r="L44" s="117" t="s">
        <v>330</v>
      </c>
      <c r="M44" s="168" t="s">
        <v>1117</v>
      </c>
      <c r="N44" s="170" t="str">
        <f>VLOOKUP(Table133[[#This Row],[Importance]],'Logic and Calculation'!$H$2:$J$12,3,FALSE)</f>
        <v>Medium</v>
      </c>
      <c r="O44" s="168">
        <v>5</v>
      </c>
      <c r="P44" s="170">
        <f>VLOOKUP(Table133[[#This Row],[Importance]],'Logic and Calculation'!$H$2:$J$12,2,FALSE)</f>
        <v>-7</v>
      </c>
      <c r="Q44" s="171"/>
      <c r="R44" s="124"/>
    </row>
    <row r="45" spans="1:18" ht="72" customHeight="1">
      <c r="A45" s="167" t="s">
        <v>270</v>
      </c>
      <c r="B45" s="167" t="s">
        <v>220</v>
      </c>
      <c r="C45" s="129" t="s">
        <v>324</v>
      </c>
      <c r="D45" s="168" t="s">
        <v>332</v>
      </c>
      <c r="E45" s="169" t="s">
        <v>29</v>
      </c>
      <c r="F45" s="170" t="s">
        <v>21</v>
      </c>
      <c r="G45" s="168" t="s">
        <v>333</v>
      </c>
      <c r="H45" s="168" t="s">
        <v>334</v>
      </c>
      <c r="I45" s="168" t="s">
        <v>335</v>
      </c>
      <c r="J45" s="117" t="s">
        <v>336</v>
      </c>
      <c r="K45" s="117" t="s">
        <v>337</v>
      </c>
      <c r="L45" s="117" t="s">
        <v>338</v>
      </c>
      <c r="M45" s="168" t="s">
        <v>1118</v>
      </c>
      <c r="N45" s="170" t="str">
        <f>VLOOKUP(Table133[[#This Row],[Importance]],'Logic and Calculation'!$H$2:$J$12,3,FALSE)</f>
        <v>Medium</v>
      </c>
      <c r="O45" s="168">
        <v>5</v>
      </c>
      <c r="P45" s="170">
        <f>VLOOKUP(Table133[[#This Row],[Importance]],'Logic and Calculation'!$H$2:$J$12,2,FALSE)</f>
        <v>-7</v>
      </c>
      <c r="Q45" s="171"/>
      <c r="R45" s="124"/>
    </row>
    <row r="46" spans="1:18" ht="96" customHeight="1">
      <c r="A46" s="167" t="s">
        <v>270</v>
      </c>
      <c r="B46" s="167" t="s">
        <v>220</v>
      </c>
      <c r="C46" s="129" t="s">
        <v>331</v>
      </c>
      <c r="D46" s="168" t="s">
        <v>1014</v>
      </c>
      <c r="E46" s="169" t="s">
        <v>29</v>
      </c>
      <c r="F46" s="170" t="s">
        <v>21</v>
      </c>
      <c r="G46" s="168" t="s">
        <v>1015</v>
      </c>
      <c r="H46" s="168" t="s">
        <v>1016</v>
      </c>
      <c r="I46" s="117" t="s">
        <v>1295</v>
      </c>
      <c r="J46" s="117" t="s">
        <v>1017</v>
      </c>
      <c r="K46" s="117" t="s">
        <v>1018</v>
      </c>
      <c r="L46" s="117" t="s">
        <v>1243</v>
      </c>
      <c r="M46" s="168" t="s">
        <v>1019</v>
      </c>
      <c r="N46" s="170" t="str">
        <f>VLOOKUP(Table133[[#This Row],[Importance]],'Logic and Calculation'!$H$2:$J$12,3,FALSE)</f>
        <v>Visibility</v>
      </c>
      <c r="O46" s="168">
        <v>1</v>
      </c>
      <c r="P46" s="170">
        <f>VLOOKUP(Table133[[#This Row],[Importance]],'Logic and Calculation'!$H$2:$J$12,2,FALSE)</f>
        <v>0</v>
      </c>
      <c r="Q46" s="171"/>
      <c r="R46" s="124"/>
    </row>
    <row r="47" spans="1:18" ht="57.6" customHeight="1">
      <c r="A47" s="172" t="s">
        <v>1119</v>
      </c>
      <c r="B47" s="172" t="s">
        <v>220</v>
      </c>
      <c r="C47" s="129" t="s">
        <v>339</v>
      </c>
      <c r="D47" s="173" t="s">
        <v>340</v>
      </c>
      <c r="E47" s="164" t="s">
        <v>20</v>
      </c>
      <c r="F47" s="174" t="s">
        <v>21</v>
      </c>
      <c r="G47" s="173" t="s">
        <v>341</v>
      </c>
      <c r="H47" s="173" t="s">
        <v>342</v>
      </c>
      <c r="I47" s="125" t="s">
        <v>1120</v>
      </c>
      <c r="J47" s="175" t="s">
        <v>343</v>
      </c>
      <c r="K47" s="175" t="s">
        <v>344</v>
      </c>
      <c r="L47" s="175" t="s">
        <v>345</v>
      </c>
      <c r="M47" s="173" t="s">
        <v>1121</v>
      </c>
      <c r="N47" s="174" t="str">
        <f>VLOOKUP(Table133[[#This Row],[Importance]],'Logic and Calculation'!$H$2:$J$12,3,FALSE)</f>
        <v>Visibility</v>
      </c>
      <c r="O47" s="173">
        <v>1</v>
      </c>
      <c r="P47" s="174">
        <f>VLOOKUP(Table133[[#This Row],[Importance]],'Logic and Calculation'!$H$2:$J$12,2,FALSE)</f>
        <v>0</v>
      </c>
      <c r="Q47" s="176"/>
      <c r="R47" s="124"/>
    </row>
    <row r="48" spans="1:18" ht="57.6" customHeight="1">
      <c r="A48" s="172" t="s">
        <v>1119</v>
      </c>
      <c r="B48" s="172" t="s">
        <v>220</v>
      </c>
      <c r="C48" s="129" t="s">
        <v>346</v>
      </c>
      <c r="D48" s="173" t="s">
        <v>347</v>
      </c>
      <c r="E48" s="177" t="s">
        <v>29</v>
      </c>
      <c r="F48" s="174" t="s">
        <v>21</v>
      </c>
      <c r="G48" s="173" t="s">
        <v>348</v>
      </c>
      <c r="H48" s="173" t="s">
        <v>349</v>
      </c>
      <c r="I48" s="175" t="s">
        <v>350</v>
      </c>
      <c r="J48" s="175" t="s">
        <v>351</v>
      </c>
      <c r="K48" s="175" t="s">
        <v>352</v>
      </c>
      <c r="L48" s="175" t="s">
        <v>353</v>
      </c>
      <c r="M48" s="173" t="s">
        <v>1122</v>
      </c>
      <c r="N48" s="174" t="str">
        <f>VLOOKUP(Table133[[#This Row],[Importance]],'Logic and Calculation'!$H$2:$J$12,3,FALSE)</f>
        <v>Visibility</v>
      </c>
      <c r="O48" s="173">
        <v>1</v>
      </c>
      <c r="P48" s="174">
        <f>VLOOKUP(Table133[[#This Row],[Importance]],'Logic and Calculation'!$H$2:$J$12,2,FALSE)</f>
        <v>0</v>
      </c>
      <c r="Q48" s="176"/>
      <c r="R48" s="124"/>
    </row>
    <row r="49" spans="1:18" ht="43.2" customHeight="1">
      <c r="A49" s="172" t="s">
        <v>1119</v>
      </c>
      <c r="B49" s="172" t="s">
        <v>220</v>
      </c>
      <c r="C49" s="129" t="s">
        <v>354</v>
      </c>
      <c r="D49" s="173" t="s">
        <v>355</v>
      </c>
      <c r="E49" s="127" t="s">
        <v>20</v>
      </c>
      <c r="F49" s="174" t="s">
        <v>21</v>
      </c>
      <c r="G49" s="173" t="s">
        <v>356</v>
      </c>
      <c r="H49" s="173" t="s">
        <v>357</v>
      </c>
      <c r="I49" s="125" t="s">
        <v>20</v>
      </c>
      <c r="J49" s="175" t="s">
        <v>358</v>
      </c>
      <c r="K49" s="175" t="s">
        <v>359</v>
      </c>
      <c r="L49" s="175" t="s">
        <v>360</v>
      </c>
      <c r="M49" s="173" t="s">
        <v>1123</v>
      </c>
      <c r="N49" s="174" t="str">
        <f>VLOOKUP(Table133[[#This Row],[Importance]],'Logic and Calculation'!$H$2:$J$12,3,FALSE)</f>
        <v>Visibility</v>
      </c>
      <c r="O49" s="173">
        <v>1</v>
      </c>
      <c r="P49" s="174">
        <f>VLOOKUP(Table133[[#This Row],[Importance]],'Logic and Calculation'!$H$2:$J$12,2,FALSE)</f>
        <v>0</v>
      </c>
      <c r="Q49" s="176"/>
      <c r="R49" s="124"/>
    </row>
    <row r="50" spans="1:18" ht="43.2" customHeight="1">
      <c r="A50" s="172" t="s">
        <v>1119</v>
      </c>
      <c r="B50" s="172" t="s">
        <v>220</v>
      </c>
      <c r="C50" s="129" t="s">
        <v>361</v>
      </c>
      <c r="D50" s="173" t="s">
        <v>1124</v>
      </c>
      <c r="E50" s="164" t="s">
        <v>20</v>
      </c>
      <c r="F50" s="174" t="s">
        <v>21</v>
      </c>
      <c r="G50" s="173" t="s">
        <v>362</v>
      </c>
      <c r="H50" s="173" t="s">
        <v>363</v>
      </c>
      <c r="I50" s="125" t="s">
        <v>1125</v>
      </c>
      <c r="J50" s="175" t="s">
        <v>364</v>
      </c>
      <c r="K50" s="175" t="s">
        <v>365</v>
      </c>
      <c r="L50" s="175" t="s">
        <v>366</v>
      </c>
      <c r="M50" s="173" t="s">
        <v>1126</v>
      </c>
      <c r="N50" s="174" t="str">
        <f>VLOOKUP(Table133[[#This Row],[Importance]],'Logic and Calculation'!$H$2:$J$12,3,FALSE)</f>
        <v>Visibility</v>
      </c>
      <c r="O50" s="173">
        <v>1</v>
      </c>
      <c r="P50" s="174">
        <f>VLOOKUP(Table133[[#This Row],[Importance]],'Logic and Calculation'!$H$2:$J$12,2,FALSE)</f>
        <v>0</v>
      </c>
      <c r="Q50" s="176"/>
      <c r="R50" s="124"/>
    </row>
    <row r="51" spans="1:18" ht="57.6" customHeight="1">
      <c r="A51" s="172" t="s">
        <v>1119</v>
      </c>
      <c r="B51" s="172" t="s">
        <v>220</v>
      </c>
      <c r="C51" s="129" t="s">
        <v>367</v>
      </c>
      <c r="D51" s="173" t="s">
        <v>368</v>
      </c>
      <c r="E51" s="164" t="s">
        <v>20</v>
      </c>
      <c r="F51" s="174" t="s">
        <v>21</v>
      </c>
      <c r="G51" s="173" t="s">
        <v>369</v>
      </c>
      <c r="H51" s="173" t="s">
        <v>370</v>
      </c>
      <c r="I51" s="125" t="s">
        <v>1127</v>
      </c>
      <c r="J51" s="175" t="s">
        <v>371</v>
      </c>
      <c r="K51" s="175" t="s">
        <v>372</v>
      </c>
      <c r="L51" s="175" t="s">
        <v>373</v>
      </c>
      <c r="M51" s="173" t="s">
        <v>1128</v>
      </c>
      <c r="N51" s="174" t="str">
        <f>VLOOKUP(Table133[[#This Row],[Importance]],'Logic and Calculation'!$H$2:$J$12,3,FALSE)</f>
        <v>Visibility</v>
      </c>
      <c r="O51" s="173">
        <v>1</v>
      </c>
      <c r="P51" s="174">
        <f>VLOOKUP(Table133[[#This Row],[Importance]],'Logic and Calculation'!$H$2:$J$12,2,FALSE)</f>
        <v>0</v>
      </c>
      <c r="Q51" s="176"/>
      <c r="R51" s="124"/>
    </row>
    <row r="52" spans="1:18" ht="43.2" customHeight="1">
      <c r="A52" s="172" t="s">
        <v>1119</v>
      </c>
      <c r="B52" s="172" t="s">
        <v>220</v>
      </c>
      <c r="C52" s="129" t="s">
        <v>374</v>
      </c>
      <c r="D52" s="173" t="s">
        <v>375</v>
      </c>
      <c r="E52" s="164" t="s">
        <v>20</v>
      </c>
      <c r="F52" s="174" t="s">
        <v>21</v>
      </c>
      <c r="G52" s="173" t="s">
        <v>376</v>
      </c>
      <c r="H52" s="173" t="s">
        <v>377</v>
      </c>
      <c r="I52" s="125" t="s">
        <v>1129</v>
      </c>
      <c r="J52" s="175" t="s">
        <v>378</v>
      </c>
      <c r="K52" s="175" t="s">
        <v>379</v>
      </c>
      <c r="L52" s="175" t="s">
        <v>380</v>
      </c>
      <c r="M52" s="173" t="s">
        <v>1130</v>
      </c>
      <c r="N52" s="174" t="str">
        <f>VLOOKUP(Table133[[#This Row],[Importance]],'Logic and Calculation'!$H$2:$J$12,3,FALSE)</f>
        <v>Visibility</v>
      </c>
      <c r="O52" s="173">
        <v>1</v>
      </c>
      <c r="P52" s="174">
        <f>VLOOKUP(Table133[[#This Row],[Importance]],'Logic and Calculation'!$H$2:$J$12,2,FALSE)</f>
        <v>0</v>
      </c>
      <c r="Q52" s="176"/>
      <c r="R52" s="124"/>
    </row>
    <row r="53" spans="1:18" ht="36" customHeight="1">
      <c r="A53" s="172" t="s">
        <v>1119</v>
      </c>
      <c r="B53" s="172" t="s">
        <v>220</v>
      </c>
      <c r="C53" s="129" t="s">
        <v>381</v>
      </c>
      <c r="D53" s="173" t="s">
        <v>382</v>
      </c>
      <c r="E53" s="127" t="s">
        <v>20</v>
      </c>
      <c r="F53" s="174" t="s">
        <v>21</v>
      </c>
      <c r="G53" s="173" t="s">
        <v>383</v>
      </c>
      <c r="H53" s="173" t="s">
        <v>384</v>
      </c>
      <c r="I53" s="125" t="s">
        <v>20</v>
      </c>
      <c r="J53" s="175" t="s">
        <v>385</v>
      </c>
      <c r="K53" s="175" t="s">
        <v>386</v>
      </c>
      <c r="L53" s="175" t="s">
        <v>387</v>
      </c>
      <c r="M53" s="173" t="s">
        <v>1131</v>
      </c>
      <c r="N53" s="174" t="str">
        <f>VLOOKUP(Table133[[#This Row],[Importance]],'Logic and Calculation'!$H$2:$J$12,3,FALSE)</f>
        <v>Visibility</v>
      </c>
      <c r="O53" s="173">
        <v>1</v>
      </c>
      <c r="P53" s="174">
        <f>VLOOKUP(Table133[[#This Row],[Importance]],'Logic and Calculation'!$H$2:$J$12,2,FALSE)</f>
        <v>0</v>
      </c>
      <c r="Q53" s="176"/>
      <c r="R53" s="124"/>
    </row>
    <row r="54" spans="1:18" ht="57.6" customHeight="1">
      <c r="A54" s="178" t="s">
        <v>1132</v>
      </c>
      <c r="B54" s="178" t="s">
        <v>258</v>
      </c>
      <c r="C54" s="129" t="s">
        <v>388</v>
      </c>
      <c r="D54" s="179" t="s">
        <v>1244</v>
      </c>
      <c r="E54" s="180" t="s">
        <v>29</v>
      </c>
      <c r="F54" s="181" t="s">
        <v>21</v>
      </c>
      <c r="G54" s="179" t="s">
        <v>389</v>
      </c>
      <c r="H54" s="179" t="s">
        <v>390</v>
      </c>
      <c r="I54" s="116" t="s">
        <v>1296</v>
      </c>
      <c r="J54" s="116" t="s">
        <v>391</v>
      </c>
      <c r="K54" s="116" t="s">
        <v>392</v>
      </c>
      <c r="L54" s="116" t="s">
        <v>393</v>
      </c>
      <c r="M54" s="179" t="s">
        <v>1133</v>
      </c>
      <c r="N54" s="181" t="str">
        <f>VLOOKUP(Table133[[#This Row],[Importance]],'Logic and Calculation'!$H$2:$J$12,3,FALSE)</f>
        <v>Medium</v>
      </c>
      <c r="O54" s="179">
        <v>5</v>
      </c>
      <c r="P54" s="181">
        <f>VLOOKUP(Table133[[#This Row],[Importance]],'Logic and Calculation'!$H$2:$J$12,2,FALSE)</f>
        <v>-7</v>
      </c>
      <c r="Q54" s="182"/>
      <c r="R54" s="124"/>
    </row>
    <row r="55" spans="1:18" ht="57.6" customHeight="1">
      <c r="A55" s="178" t="s">
        <v>1132</v>
      </c>
      <c r="B55" s="178" t="s">
        <v>258</v>
      </c>
      <c r="C55" s="129" t="s">
        <v>394</v>
      </c>
      <c r="D55" s="179" t="s">
        <v>1245</v>
      </c>
      <c r="E55" s="180" t="s">
        <v>29</v>
      </c>
      <c r="F55" s="181" t="s">
        <v>21</v>
      </c>
      <c r="G55" s="179" t="s">
        <v>389</v>
      </c>
      <c r="H55" s="179" t="s">
        <v>390</v>
      </c>
      <c r="I55" s="116" t="s">
        <v>1297</v>
      </c>
      <c r="J55" s="116" t="s">
        <v>391</v>
      </c>
      <c r="K55" s="116" t="s">
        <v>392</v>
      </c>
      <c r="L55" s="116" t="s">
        <v>393</v>
      </c>
      <c r="M55" s="179" t="s">
        <v>1133</v>
      </c>
      <c r="N55" s="181" t="str">
        <f>VLOOKUP(Table133[[#This Row],[Importance]],'Logic and Calculation'!$H$2:$J$12,3,FALSE)</f>
        <v>Medium</v>
      </c>
      <c r="O55" s="179">
        <v>5</v>
      </c>
      <c r="P55" s="181">
        <f>VLOOKUP(Table133[[#This Row],[Importance]],'Logic and Calculation'!$H$2:$J$12,2,FALSE)</f>
        <v>-7</v>
      </c>
      <c r="Q55" s="182"/>
      <c r="R55" s="124"/>
    </row>
    <row r="56" spans="1:18" ht="57.6" customHeight="1">
      <c r="A56" s="178" t="s">
        <v>1132</v>
      </c>
      <c r="B56" s="178" t="s">
        <v>258</v>
      </c>
      <c r="C56" s="129" t="s">
        <v>401</v>
      </c>
      <c r="D56" s="179" t="s">
        <v>1246</v>
      </c>
      <c r="E56" s="180" t="s">
        <v>29</v>
      </c>
      <c r="F56" s="181" t="s">
        <v>21</v>
      </c>
      <c r="G56" s="179" t="s">
        <v>389</v>
      </c>
      <c r="H56" s="179" t="s">
        <v>390</v>
      </c>
      <c r="I56" s="116" t="s">
        <v>1298</v>
      </c>
      <c r="J56" s="116" t="s">
        <v>391</v>
      </c>
      <c r="K56" s="116" t="s">
        <v>392</v>
      </c>
      <c r="L56" s="116" t="s">
        <v>393</v>
      </c>
      <c r="M56" s="179" t="s">
        <v>1133</v>
      </c>
      <c r="N56" s="181" t="str">
        <f>VLOOKUP(Table133[[#This Row],[Importance]],'Logic and Calculation'!$H$2:$J$12,3,FALSE)</f>
        <v>Medium</v>
      </c>
      <c r="O56" s="179">
        <v>5</v>
      </c>
      <c r="P56" s="181">
        <f>VLOOKUP(Table133[[#This Row],[Importance]],'Logic and Calculation'!$H$2:$J$12,2,FALSE)</f>
        <v>-7</v>
      </c>
      <c r="Q56" s="182"/>
      <c r="R56" s="124"/>
    </row>
    <row r="57" spans="1:18" ht="115.2" customHeight="1">
      <c r="A57" s="178" t="s">
        <v>1132</v>
      </c>
      <c r="B57" s="178" t="s">
        <v>258</v>
      </c>
      <c r="C57" s="129" t="s">
        <v>408</v>
      </c>
      <c r="D57" s="179" t="s">
        <v>1134</v>
      </c>
      <c r="E57" s="180" t="s">
        <v>29</v>
      </c>
      <c r="F57" s="181" t="s">
        <v>21</v>
      </c>
      <c r="G57" s="179" t="s">
        <v>395</v>
      </c>
      <c r="H57" s="179" t="s">
        <v>396</v>
      </c>
      <c r="I57" s="116" t="s">
        <v>397</v>
      </c>
      <c r="J57" s="116" t="s">
        <v>398</v>
      </c>
      <c r="K57" s="116" t="s">
        <v>399</v>
      </c>
      <c r="L57" s="116" t="s">
        <v>400</v>
      </c>
      <c r="M57" s="179" t="s">
        <v>1135</v>
      </c>
      <c r="N57" s="181" t="str">
        <f>VLOOKUP(Table133[[#This Row],[Importance]],'Logic and Calculation'!$H$2:$J$12,3,FALSE)</f>
        <v>Visibility</v>
      </c>
      <c r="O57" s="179">
        <v>1</v>
      </c>
      <c r="P57" s="181">
        <f>VLOOKUP(Table133[[#This Row],[Importance]],'Logic and Calculation'!$H$2:$J$12,2,FALSE)</f>
        <v>0</v>
      </c>
      <c r="Q57" s="182"/>
      <c r="R57" s="124"/>
    </row>
    <row r="58" spans="1:18" ht="114" customHeight="1">
      <c r="A58" s="178" t="s">
        <v>1132</v>
      </c>
      <c r="B58" s="178" t="s">
        <v>258</v>
      </c>
      <c r="C58" s="129" t="s">
        <v>415</v>
      </c>
      <c r="D58" s="179" t="s">
        <v>1136</v>
      </c>
      <c r="E58" s="180" t="s">
        <v>29</v>
      </c>
      <c r="F58" s="181" t="s">
        <v>21</v>
      </c>
      <c r="G58" s="179" t="s">
        <v>402</v>
      </c>
      <c r="H58" s="179" t="s">
        <v>403</v>
      </c>
      <c r="I58" s="116" t="s">
        <v>404</v>
      </c>
      <c r="J58" s="116" t="s">
        <v>405</v>
      </c>
      <c r="K58" s="116" t="s">
        <v>406</v>
      </c>
      <c r="L58" s="116" t="s">
        <v>407</v>
      </c>
      <c r="M58" s="179" t="s">
        <v>1137</v>
      </c>
      <c r="N58" s="181" t="str">
        <f>VLOOKUP(Table133[[#This Row],[Importance]],'Logic and Calculation'!$H$2:$J$12,3,FALSE)</f>
        <v>Visibility</v>
      </c>
      <c r="O58" s="179">
        <v>1</v>
      </c>
      <c r="P58" s="181">
        <f>VLOOKUP(Table133[[#This Row],[Importance]],'Logic and Calculation'!$H$2:$J$12,2,FALSE)</f>
        <v>0</v>
      </c>
      <c r="Q58" s="182"/>
      <c r="R58" s="124"/>
    </row>
    <row r="59" spans="1:18" ht="43.2" customHeight="1">
      <c r="A59" s="178" t="s">
        <v>1132</v>
      </c>
      <c r="B59" s="178" t="s">
        <v>258</v>
      </c>
      <c r="C59" s="129" t="s">
        <v>422</v>
      </c>
      <c r="D59" s="179" t="s">
        <v>1138</v>
      </c>
      <c r="E59" s="180" t="s">
        <v>29</v>
      </c>
      <c r="F59" s="181" t="s">
        <v>21</v>
      </c>
      <c r="G59" s="179" t="s">
        <v>409</v>
      </c>
      <c r="H59" s="179" t="s">
        <v>410</v>
      </c>
      <c r="I59" s="116" t="s">
        <v>411</v>
      </c>
      <c r="J59" s="116" t="s">
        <v>412</v>
      </c>
      <c r="K59" s="116" t="s">
        <v>413</v>
      </c>
      <c r="L59" s="116" t="s">
        <v>414</v>
      </c>
      <c r="M59" s="179" t="s">
        <v>1139</v>
      </c>
      <c r="N59" s="181" t="str">
        <f>VLOOKUP(Table133[[#This Row],[Importance]],'Logic and Calculation'!$H$2:$J$12,3,FALSE)</f>
        <v>Visibility</v>
      </c>
      <c r="O59" s="179">
        <v>1</v>
      </c>
      <c r="P59" s="181">
        <f>VLOOKUP(Table133[[#This Row],[Importance]],'Logic and Calculation'!$H$2:$J$12,2,FALSE)</f>
        <v>0</v>
      </c>
      <c r="Q59" s="182"/>
      <c r="R59" s="124"/>
    </row>
    <row r="60" spans="1:18" ht="72" customHeight="1">
      <c r="A60" s="178" t="s">
        <v>1132</v>
      </c>
      <c r="B60" s="178" t="s">
        <v>258</v>
      </c>
      <c r="C60" s="129" t="s">
        <v>429</v>
      </c>
      <c r="D60" s="179" t="s">
        <v>1140</v>
      </c>
      <c r="E60" s="180" t="s">
        <v>29</v>
      </c>
      <c r="F60" s="181" t="s">
        <v>21</v>
      </c>
      <c r="G60" s="179" t="s">
        <v>416</v>
      </c>
      <c r="H60" s="179" t="s">
        <v>417</v>
      </c>
      <c r="I60" s="179" t="s">
        <v>418</v>
      </c>
      <c r="J60" s="116" t="s">
        <v>419</v>
      </c>
      <c r="K60" s="116" t="s">
        <v>420</v>
      </c>
      <c r="L60" s="116" t="s">
        <v>421</v>
      </c>
      <c r="M60" s="179" t="s">
        <v>1141</v>
      </c>
      <c r="N60" s="181" t="str">
        <f>VLOOKUP(Table133[[#This Row],[Importance]],'Logic and Calculation'!$H$2:$J$12,3,FALSE)</f>
        <v>Visibility</v>
      </c>
      <c r="O60" s="179">
        <v>1</v>
      </c>
      <c r="P60" s="181">
        <f>VLOOKUP(Table133[[#This Row],[Importance]],'Logic and Calculation'!$H$2:$J$12,2,FALSE)</f>
        <v>0</v>
      </c>
      <c r="Q60" s="182"/>
      <c r="R60" s="124"/>
    </row>
    <row r="61" spans="1:18" ht="72" customHeight="1">
      <c r="A61" s="178" t="s">
        <v>1132</v>
      </c>
      <c r="B61" s="178" t="s">
        <v>258</v>
      </c>
      <c r="C61" s="129" t="s">
        <v>436</v>
      </c>
      <c r="D61" s="179" t="s">
        <v>1142</v>
      </c>
      <c r="E61" s="180" t="s">
        <v>29</v>
      </c>
      <c r="F61" s="181" t="s">
        <v>21</v>
      </c>
      <c r="G61" s="179" t="s">
        <v>423</v>
      </c>
      <c r="H61" s="179" t="s">
        <v>424</v>
      </c>
      <c r="I61" s="179" t="s">
        <v>425</v>
      </c>
      <c r="J61" s="116" t="s">
        <v>426</v>
      </c>
      <c r="K61" s="116" t="s">
        <v>427</v>
      </c>
      <c r="L61" s="116" t="s">
        <v>428</v>
      </c>
      <c r="M61" s="179" t="s">
        <v>1143</v>
      </c>
      <c r="N61" s="181" t="str">
        <f>VLOOKUP(Table133[[#This Row],[Importance]],'Logic and Calculation'!$H$2:$J$12,3,FALSE)</f>
        <v>Visibility</v>
      </c>
      <c r="O61" s="179">
        <v>1</v>
      </c>
      <c r="P61" s="181">
        <f>VLOOKUP(Table133[[#This Row],[Importance]],'Logic and Calculation'!$H$2:$J$12,2,FALSE)</f>
        <v>0</v>
      </c>
      <c r="Q61" s="182"/>
      <c r="R61" s="124"/>
    </row>
    <row r="62" spans="1:18" ht="72" customHeight="1">
      <c r="A62" s="178" t="s">
        <v>1132</v>
      </c>
      <c r="B62" s="178" t="s">
        <v>258</v>
      </c>
      <c r="C62" s="129" t="s">
        <v>443</v>
      </c>
      <c r="D62" s="179" t="s">
        <v>1279</v>
      </c>
      <c r="E62" s="180" t="s">
        <v>29</v>
      </c>
      <c r="F62" s="181" t="s">
        <v>21</v>
      </c>
      <c r="G62" s="179" t="s">
        <v>1280</v>
      </c>
      <c r="H62" s="179" t="s">
        <v>1281</v>
      </c>
      <c r="I62" s="116" t="s">
        <v>638</v>
      </c>
      <c r="J62" s="183" t="s">
        <v>1282</v>
      </c>
      <c r="K62" s="183" t="s">
        <v>1284</v>
      </c>
      <c r="L62" s="183" t="s">
        <v>1283</v>
      </c>
      <c r="M62" s="179"/>
      <c r="N62" s="181" t="e">
        <f>VLOOKUP(Table133[[#This Row],[Importance]],'Logic and Calculation'!$H$2:$J$12,3,FALSE)</f>
        <v>#N/A</v>
      </c>
      <c r="O62" s="179"/>
      <c r="P62" s="181" t="e">
        <f>VLOOKUP(Table133[[#This Row],[Importance]],'Logic and Calculation'!$H$2:$J$12,2,FALSE)</f>
        <v>#N/A</v>
      </c>
      <c r="Q62" s="182"/>
      <c r="R62" s="160"/>
    </row>
    <row r="63" spans="1:18" ht="57.6" customHeight="1">
      <c r="A63" s="178" t="s">
        <v>1132</v>
      </c>
      <c r="B63" s="178" t="s">
        <v>258</v>
      </c>
      <c r="C63" s="129" t="s">
        <v>451</v>
      </c>
      <c r="D63" s="179" t="s">
        <v>430</v>
      </c>
      <c r="E63" s="127" t="s">
        <v>20</v>
      </c>
      <c r="F63" s="181" t="s">
        <v>21</v>
      </c>
      <c r="G63" s="179" t="s">
        <v>431</v>
      </c>
      <c r="H63" s="179" t="s">
        <v>432</v>
      </c>
      <c r="I63" s="125" t="s">
        <v>20</v>
      </c>
      <c r="J63" s="116" t="s">
        <v>433</v>
      </c>
      <c r="K63" s="116" t="s">
        <v>434</v>
      </c>
      <c r="L63" s="116" t="s">
        <v>435</v>
      </c>
      <c r="M63" s="179" t="s">
        <v>1144</v>
      </c>
      <c r="N63" s="181" t="str">
        <f>VLOOKUP(Table133[[#This Row],[Importance]],'Logic and Calculation'!$H$2:$J$12,3,FALSE)</f>
        <v>Medium</v>
      </c>
      <c r="O63" s="179">
        <v>5</v>
      </c>
      <c r="P63" s="181">
        <f>VLOOKUP(Table133[[#This Row],[Importance]],'Logic and Calculation'!$H$2:$J$12,2,FALSE)</f>
        <v>-7</v>
      </c>
      <c r="Q63" s="182"/>
      <c r="R63" s="124"/>
    </row>
    <row r="64" spans="1:18" ht="43.2" customHeight="1">
      <c r="A64" s="178" t="s">
        <v>1132</v>
      </c>
      <c r="B64" s="178" t="s">
        <v>258</v>
      </c>
      <c r="C64" s="129" t="s">
        <v>459</v>
      </c>
      <c r="D64" s="179" t="s">
        <v>1145</v>
      </c>
      <c r="E64" s="180" t="s">
        <v>29</v>
      </c>
      <c r="F64" s="181" t="s">
        <v>21</v>
      </c>
      <c r="G64" s="179" t="s">
        <v>437</v>
      </c>
      <c r="H64" s="179" t="s">
        <v>438</v>
      </c>
      <c r="I64" s="116" t="s">
        <v>439</v>
      </c>
      <c r="J64" s="116" t="s">
        <v>440</v>
      </c>
      <c r="K64" s="116" t="s">
        <v>441</v>
      </c>
      <c r="L64" s="116" t="s">
        <v>442</v>
      </c>
      <c r="M64" s="179" t="s">
        <v>1146</v>
      </c>
      <c r="N64" s="181" t="str">
        <f>VLOOKUP(Table133[[#This Row],[Importance]],'Logic and Calculation'!$H$2:$J$12,3,FALSE)</f>
        <v>Visibility</v>
      </c>
      <c r="O64" s="179">
        <v>1</v>
      </c>
      <c r="P64" s="181">
        <f>VLOOKUP(Table133[[#This Row],[Importance]],'Logic and Calculation'!$H$2:$J$12,2,FALSE)</f>
        <v>0</v>
      </c>
      <c r="Q64" s="182"/>
      <c r="R64" s="124"/>
    </row>
    <row r="65" spans="1:18" ht="43.2" customHeight="1">
      <c r="A65" s="178" t="s">
        <v>1132</v>
      </c>
      <c r="B65" s="178" t="s">
        <v>258</v>
      </c>
      <c r="C65" s="129" t="s">
        <v>466</v>
      </c>
      <c r="D65" s="179" t="s">
        <v>1099</v>
      </c>
      <c r="E65" s="180" t="s">
        <v>29</v>
      </c>
      <c r="F65" s="181" t="s">
        <v>21</v>
      </c>
      <c r="G65" s="179" t="s">
        <v>260</v>
      </c>
      <c r="H65" s="179" t="s">
        <v>261</v>
      </c>
      <c r="I65" s="116" t="s">
        <v>262</v>
      </c>
      <c r="J65" s="116" t="s">
        <v>1247</v>
      </c>
      <c r="K65" s="116" t="s">
        <v>1248</v>
      </c>
      <c r="L65" s="116" t="s">
        <v>1249</v>
      </c>
      <c r="M65" s="179" t="s">
        <v>1100</v>
      </c>
      <c r="N65" s="181" t="str">
        <f>VLOOKUP(Table133[[#This Row],[Importance]],'Logic and Calculation'!$H$2:$J$12,3,FALSE)</f>
        <v>Medium</v>
      </c>
      <c r="O65" s="179">
        <v>5</v>
      </c>
      <c r="P65" s="181">
        <f>VLOOKUP(Table133[[#This Row],[Importance]],'Logic and Calculation'!$H$2:$J$12,2,FALSE)</f>
        <v>-7</v>
      </c>
      <c r="Q65" s="182"/>
      <c r="R65" s="159"/>
    </row>
    <row r="66" spans="1:18" ht="43.2" customHeight="1">
      <c r="A66" s="178" t="s">
        <v>1132</v>
      </c>
      <c r="B66" s="178" t="s">
        <v>258</v>
      </c>
      <c r="C66" s="129" t="s">
        <v>473</v>
      </c>
      <c r="D66" s="179" t="s">
        <v>1101</v>
      </c>
      <c r="E66" s="180" t="s">
        <v>29</v>
      </c>
      <c r="F66" s="181" t="s">
        <v>21</v>
      </c>
      <c r="G66" s="179" t="s">
        <v>267</v>
      </c>
      <c r="H66" s="179" t="s">
        <v>268</v>
      </c>
      <c r="I66" s="179" t="s">
        <v>269</v>
      </c>
      <c r="J66" s="116" t="s">
        <v>1250</v>
      </c>
      <c r="K66" s="116" t="s">
        <v>1251</v>
      </c>
      <c r="L66" s="116" t="s">
        <v>1252</v>
      </c>
      <c r="M66" s="179" t="s">
        <v>1102</v>
      </c>
      <c r="N66" s="181" t="str">
        <f>VLOOKUP(Table133[[#This Row],[Importance]],'Logic and Calculation'!$H$2:$J$12,3,FALSE)</f>
        <v>Medium</v>
      </c>
      <c r="O66" s="179">
        <v>5</v>
      </c>
      <c r="P66" s="181">
        <f>VLOOKUP(Table133[[#This Row],[Importance]],'Logic and Calculation'!$H$2:$J$12,2,FALSE)</f>
        <v>-7</v>
      </c>
      <c r="Q66" s="182"/>
      <c r="R66" s="159"/>
    </row>
    <row r="67" spans="1:18" s="162" customFormat="1" ht="43.2" customHeight="1">
      <c r="A67" s="184" t="s">
        <v>1203</v>
      </c>
      <c r="B67" s="185" t="s">
        <v>603</v>
      </c>
      <c r="C67" s="129" t="s">
        <v>480</v>
      </c>
      <c r="D67" s="186" t="s">
        <v>700</v>
      </c>
      <c r="E67" s="187" t="s">
        <v>20</v>
      </c>
      <c r="F67" s="188" t="s">
        <v>21</v>
      </c>
      <c r="G67" s="186" t="s">
        <v>701</v>
      </c>
      <c r="H67" s="186" t="s">
        <v>702</v>
      </c>
      <c r="I67" s="189" t="s">
        <v>20</v>
      </c>
      <c r="J67" s="190" t="s">
        <v>703</v>
      </c>
      <c r="K67" s="190" t="s">
        <v>704</v>
      </c>
      <c r="L67" s="190" t="s">
        <v>705</v>
      </c>
      <c r="M67" s="186" t="s">
        <v>1205</v>
      </c>
      <c r="N67" s="188" t="str">
        <f>VLOOKUP(Table133[[#This Row],[Importance]],'Logic and Calculation'!$H$2:$J$12,3,FALSE)</f>
        <v>Medium</v>
      </c>
      <c r="O67" s="186">
        <v>5</v>
      </c>
      <c r="P67" s="188">
        <f>VLOOKUP(Table133[[#This Row],[Importance]],'Logic and Calculation'!$H$2:$J$12,2,FALSE)</f>
        <v>-7</v>
      </c>
      <c r="Q67" s="191"/>
      <c r="R67" s="163"/>
    </row>
    <row r="68" spans="1:18" ht="72" customHeight="1">
      <c r="A68" s="185" t="s">
        <v>270</v>
      </c>
      <c r="B68" s="185" t="s">
        <v>220</v>
      </c>
      <c r="C68" s="129" t="s">
        <v>486</v>
      </c>
      <c r="D68" s="186" t="s">
        <v>1112</v>
      </c>
      <c r="E68" s="187" t="s">
        <v>29</v>
      </c>
      <c r="F68" s="188" t="s">
        <v>21</v>
      </c>
      <c r="G68" s="186" t="s">
        <v>314</v>
      </c>
      <c r="H68" s="186" t="s">
        <v>315</v>
      </c>
      <c r="I68" s="190" t="s">
        <v>316</v>
      </c>
      <c r="J68" s="190" t="s">
        <v>1253</v>
      </c>
      <c r="K68" s="190" t="s">
        <v>1254</v>
      </c>
      <c r="L68" s="190" t="s">
        <v>1255</v>
      </c>
      <c r="M68" s="186" t="s">
        <v>1113</v>
      </c>
      <c r="N68" s="188" t="str">
        <f>VLOOKUP(Table133[[#This Row],[Importance]],'Logic and Calculation'!$H$2:$J$12,3,FALSE)</f>
        <v>Medium</v>
      </c>
      <c r="O68" s="186">
        <v>5</v>
      </c>
      <c r="P68" s="188">
        <f>VLOOKUP(Table133[[#This Row],[Importance]],'Logic and Calculation'!$H$2:$J$12,2,FALSE)</f>
        <v>-7</v>
      </c>
      <c r="Q68" s="191"/>
      <c r="R68" s="124"/>
    </row>
    <row r="69" spans="1:18" ht="72" customHeight="1">
      <c r="A69" s="185" t="s">
        <v>270</v>
      </c>
      <c r="B69" s="185" t="s">
        <v>220</v>
      </c>
      <c r="C69" s="129" t="s">
        <v>493</v>
      </c>
      <c r="D69" s="186" t="s">
        <v>1114</v>
      </c>
      <c r="E69" s="187" t="s">
        <v>29</v>
      </c>
      <c r="F69" s="188" t="s">
        <v>21</v>
      </c>
      <c r="G69" s="186" t="s">
        <v>318</v>
      </c>
      <c r="H69" s="186" t="s">
        <v>319</v>
      </c>
      <c r="I69" s="186" t="s">
        <v>320</v>
      </c>
      <c r="J69" s="190" t="s">
        <v>1256</v>
      </c>
      <c r="K69" s="190" t="s">
        <v>1257</v>
      </c>
      <c r="L69" s="190" t="s">
        <v>1258</v>
      </c>
      <c r="M69" s="186" t="s">
        <v>1115</v>
      </c>
      <c r="N69" s="188" t="str">
        <f>VLOOKUP(Table133[[#This Row],[Importance]],'Logic and Calculation'!$H$2:$J$12,3,FALSE)</f>
        <v>Medium</v>
      </c>
      <c r="O69" s="186">
        <v>5</v>
      </c>
      <c r="P69" s="188">
        <f>VLOOKUP(Table133[[#This Row],[Importance]],'Logic and Calculation'!$H$2:$J$12,2,FALSE)</f>
        <v>-7</v>
      </c>
      <c r="Q69" s="191"/>
      <c r="R69" s="124"/>
    </row>
    <row r="70" spans="1:18" ht="43.2" customHeight="1">
      <c r="A70" s="185" t="s">
        <v>1132</v>
      </c>
      <c r="B70" s="185" t="s">
        <v>258</v>
      </c>
      <c r="C70" s="129" t="s">
        <v>495</v>
      </c>
      <c r="D70" s="186" t="s">
        <v>444</v>
      </c>
      <c r="E70" s="127" t="s">
        <v>20</v>
      </c>
      <c r="F70" s="188" t="s">
        <v>21</v>
      </c>
      <c r="G70" s="186" t="s">
        <v>445</v>
      </c>
      <c r="H70" s="186" t="s">
        <v>446</v>
      </c>
      <c r="I70" s="125" t="s">
        <v>20</v>
      </c>
      <c r="J70" s="190" t="s">
        <v>447</v>
      </c>
      <c r="K70" s="190" t="s">
        <v>448</v>
      </c>
      <c r="L70" s="190" t="s">
        <v>449</v>
      </c>
      <c r="M70" s="186" t="s">
        <v>1147</v>
      </c>
      <c r="N70" s="188" t="str">
        <f>VLOOKUP(Table133[[#This Row],[Importance]],'Logic and Calculation'!$H$2:$J$12,3,FALSE)</f>
        <v>Medium</v>
      </c>
      <c r="O70" s="186">
        <v>5</v>
      </c>
      <c r="P70" s="188">
        <f>VLOOKUP(Table133[[#This Row],[Importance]],'Logic and Calculation'!$H$2:$J$12,2,FALSE)</f>
        <v>-7</v>
      </c>
      <c r="Q70" s="191"/>
      <c r="R70" s="124"/>
    </row>
    <row r="71" spans="1:18" ht="57.6" customHeight="1">
      <c r="A71" s="185" t="s">
        <v>450</v>
      </c>
      <c r="B71" s="185" t="s">
        <v>258</v>
      </c>
      <c r="C71" s="129" t="s">
        <v>501</v>
      </c>
      <c r="D71" s="186" t="s">
        <v>452</v>
      </c>
      <c r="E71" s="187" t="s">
        <v>29</v>
      </c>
      <c r="F71" s="188" t="s">
        <v>21</v>
      </c>
      <c r="G71" s="186" t="s">
        <v>453</v>
      </c>
      <c r="H71" s="186" t="s">
        <v>454</v>
      </c>
      <c r="I71" s="190" t="s">
        <v>455</v>
      </c>
      <c r="J71" s="190" t="s">
        <v>456</v>
      </c>
      <c r="K71" s="190" t="s">
        <v>457</v>
      </c>
      <c r="L71" s="190" t="s">
        <v>458</v>
      </c>
      <c r="M71" s="186" t="s">
        <v>1148</v>
      </c>
      <c r="N71" s="188" t="str">
        <f>VLOOKUP(Table133[[#This Row],[Importance]],'Logic and Calculation'!$H$2:$J$12,3,FALSE)</f>
        <v>Visibility</v>
      </c>
      <c r="O71" s="186">
        <v>1</v>
      </c>
      <c r="P71" s="188">
        <f>VLOOKUP(Table133[[#This Row],[Importance]],'Logic and Calculation'!$H$2:$J$12,2,FALSE)</f>
        <v>0</v>
      </c>
      <c r="Q71" s="191"/>
      <c r="R71" s="124"/>
    </row>
    <row r="72" spans="1:18" ht="97.8" customHeight="1">
      <c r="A72" s="185" t="s">
        <v>450</v>
      </c>
      <c r="B72" s="185" t="s">
        <v>258</v>
      </c>
      <c r="C72" s="129" t="s">
        <v>507</v>
      </c>
      <c r="D72" s="186" t="s">
        <v>460</v>
      </c>
      <c r="E72" s="187" t="s">
        <v>29</v>
      </c>
      <c r="F72" s="188" t="s">
        <v>21</v>
      </c>
      <c r="G72" s="186" t="s">
        <v>461</v>
      </c>
      <c r="H72" s="186" t="s">
        <v>462</v>
      </c>
      <c r="I72" s="190" t="s">
        <v>1299</v>
      </c>
      <c r="J72" s="190" t="s">
        <v>463</v>
      </c>
      <c r="K72" s="190" t="s">
        <v>464</v>
      </c>
      <c r="L72" s="190" t="s">
        <v>465</v>
      </c>
      <c r="M72" s="186" t="s">
        <v>1149</v>
      </c>
      <c r="N72" s="188" t="str">
        <f>VLOOKUP(Table133[[#This Row],[Importance]],'Logic and Calculation'!$H$2:$J$12,3,FALSE)</f>
        <v>Visibility</v>
      </c>
      <c r="O72" s="186">
        <v>1</v>
      </c>
      <c r="P72" s="188">
        <f>VLOOKUP(Table133[[#This Row],[Importance]],'Logic and Calculation'!$H$2:$J$12,2,FALSE)</f>
        <v>0</v>
      </c>
      <c r="Q72" s="191"/>
      <c r="R72" s="124"/>
    </row>
    <row r="73" spans="1:18" ht="28.8" customHeight="1">
      <c r="A73" s="185" t="s">
        <v>450</v>
      </c>
      <c r="B73" s="185" t="s">
        <v>258</v>
      </c>
      <c r="C73" s="129" t="s">
        <v>515</v>
      </c>
      <c r="D73" s="186" t="s">
        <v>1150</v>
      </c>
      <c r="E73" s="187" t="s">
        <v>29</v>
      </c>
      <c r="F73" s="188" t="s">
        <v>21</v>
      </c>
      <c r="G73" s="186" t="s">
        <v>467</v>
      </c>
      <c r="H73" s="186" t="s">
        <v>468</v>
      </c>
      <c r="I73" s="190" t="s">
        <v>469</v>
      </c>
      <c r="J73" s="190" t="s">
        <v>470</v>
      </c>
      <c r="K73" s="190" t="s">
        <v>471</v>
      </c>
      <c r="L73" s="190" t="s">
        <v>472</v>
      </c>
      <c r="M73" s="186" t="s">
        <v>1151</v>
      </c>
      <c r="N73" s="188" t="str">
        <f>VLOOKUP(Table133[[#This Row],[Importance]],'Logic and Calculation'!$H$2:$J$12,3,FALSE)</f>
        <v>Visibility</v>
      </c>
      <c r="O73" s="186">
        <v>1</v>
      </c>
      <c r="P73" s="188">
        <f>VLOOKUP(Table133[[#This Row],[Importance]],'Logic and Calculation'!$H$2:$J$12,2,FALSE)</f>
        <v>0</v>
      </c>
      <c r="Q73" s="191"/>
      <c r="R73" s="124"/>
    </row>
    <row r="74" spans="1:18" ht="43.2" customHeight="1">
      <c r="A74" s="185" t="s">
        <v>450</v>
      </c>
      <c r="B74" s="185" t="s">
        <v>258</v>
      </c>
      <c r="C74" s="129" t="s">
        <v>522</v>
      </c>
      <c r="D74" s="186" t="s">
        <v>474</v>
      </c>
      <c r="E74" s="164" t="s">
        <v>20</v>
      </c>
      <c r="F74" s="188" t="s">
        <v>21</v>
      </c>
      <c r="G74" s="186" t="s">
        <v>475</v>
      </c>
      <c r="H74" s="186" t="s">
        <v>476</v>
      </c>
      <c r="I74" s="125" t="s">
        <v>1152</v>
      </c>
      <c r="J74" s="190" t="s">
        <v>477</v>
      </c>
      <c r="K74" s="190" t="s">
        <v>478</v>
      </c>
      <c r="L74" s="190" t="s">
        <v>479</v>
      </c>
      <c r="M74" s="186" t="s">
        <v>1153</v>
      </c>
      <c r="N74" s="188" t="str">
        <f>VLOOKUP(Table133[[#This Row],[Importance]],'Logic and Calculation'!$H$2:$J$12,3,FALSE)</f>
        <v>Visibility</v>
      </c>
      <c r="O74" s="186">
        <v>1</v>
      </c>
      <c r="P74" s="188">
        <f>VLOOKUP(Table133[[#This Row],[Importance]],'Logic and Calculation'!$H$2:$J$12,2,FALSE)</f>
        <v>0</v>
      </c>
      <c r="Q74" s="191"/>
      <c r="R74" s="124"/>
    </row>
    <row r="75" spans="1:18" ht="60" customHeight="1">
      <c r="A75" s="185" t="s">
        <v>450</v>
      </c>
      <c r="B75" s="185" t="s">
        <v>258</v>
      </c>
      <c r="C75" s="129" t="s">
        <v>530</v>
      </c>
      <c r="D75" s="186" t="s">
        <v>1154</v>
      </c>
      <c r="E75" s="187" t="s">
        <v>29</v>
      </c>
      <c r="F75" s="188" t="s">
        <v>21</v>
      </c>
      <c r="G75" s="186" t="s">
        <v>481</v>
      </c>
      <c r="H75" s="186" t="s">
        <v>482</v>
      </c>
      <c r="I75" s="186" t="s">
        <v>483</v>
      </c>
      <c r="J75" s="190" t="s">
        <v>484</v>
      </c>
      <c r="K75" s="190" t="s">
        <v>471</v>
      </c>
      <c r="L75" s="190" t="s">
        <v>485</v>
      </c>
      <c r="M75" s="186" t="s">
        <v>1155</v>
      </c>
      <c r="N75" s="188" t="str">
        <f>VLOOKUP(Table133[[#This Row],[Importance]],'Logic and Calculation'!$H$2:$J$12,3,FALSE)</f>
        <v>Visibility</v>
      </c>
      <c r="O75" s="186">
        <v>1</v>
      </c>
      <c r="P75" s="188">
        <f>VLOOKUP(Table133[[#This Row],[Importance]],'Logic and Calculation'!$H$2:$J$12,2,FALSE)</f>
        <v>0</v>
      </c>
      <c r="Q75" s="191"/>
      <c r="R75" s="124"/>
    </row>
    <row r="76" spans="1:18" ht="57.6" customHeight="1">
      <c r="A76" s="185" t="s">
        <v>450</v>
      </c>
      <c r="B76" s="185" t="s">
        <v>258</v>
      </c>
      <c r="C76" s="129" t="s">
        <v>537</v>
      </c>
      <c r="D76" s="186" t="s">
        <v>1156</v>
      </c>
      <c r="E76" s="187" t="s">
        <v>29</v>
      </c>
      <c r="F76" s="188" t="s">
        <v>21</v>
      </c>
      <c r="G76" s="186" t="s">
        <v>487</v>
      </c>
      <c r="H76" s="186" t="s">
        <v>488</v>
      </c>
      <c r="I76" s="190" t="s">
        <v>489</v>
      </c>
      <c r="J76" s="190" t="s">
        <v>490</v>
      </c>
      <c r="K76" s="190" t="s">
        <v>491</v>
      </c>
      <c r="L76" s="190" t="s">
        <v>492</v>
      </c>
      <c r="M76" s="186" t="s">
        <v>1157</v>
      </c>
      <c r="N76" s="188" t="str">
        <f>VLOOKUP(Table133[[#This Row],[Importance]],'Logic and Calculation'!$H$2:$J$12,3,FALSE)</f>
        <v>Visibility</v>
      </c>
      <c r="O76" s="186">
        <v>1</v>
      </c>
      <c r="P76" s="188">
        <f>VLOOKUP(Table133[[#This Row],[Importance]],'Logic and Calculation'!$H$2:$J$12,2,FALSE)</f>
        <v>0</v>
      </c>
      <c r="Q76" s="191"/>
      <c r="R76" s="124"/>
    </row>
    <row r="77" spans="1:18" ht="126" customHeight="1">
      <c r="A77" s="185" t="s">
        <v>450</v>
      </c>
      <c r="B77" s="185" t="s">
        <v>258</v>
      </c>
      <c r="C77" s="129" t="s">
        <v>538</v>
      </c>
      <c r="D77" s="186" t="s">
        <v>1041</v>
      </c>
      <c r="E77" s="187" t="s">
        <v>29</v>
      </c>
      <c r="F77" s="188" t="s">
        <v>21</v>
      </c>
      <c r="G77" s="186" t="s">
        <v>1042</v>
      </c>
      <c r="H77" s="186" t="s">
        <v>1043</v>
      </c>
      <c r="I77" s="190" t="s">
        <v>1044</v>
      </c>
      <c r="J77" s="190" t="s">
        <v>1045</v>
      </c>
      <c r="K77" s="190" t="s">
        <v>1046</v>
      </c>
      <c r="L77" s="190" t="s">
        <v>1259</v>
      </c>
      <c r="M77" s="186" t="s">
        <v>1158</v>
      </c>
      <c r="N77" s="188" t="str">
        <f>VLOOKUP(Table133[[#This Row],[Importance]],'Logic and Calculation'!$H$2:$J$12,3,FALSE)</f>
        <v>Medium</v>
      </c>
      <c r="O77" s="186">
        <v>7</v>
      </c>
      <c r="P77" s="188">
        <f>VLOOKUP(Table133[[#This Row],[Importance]],'Logic and Calculation'!$H$2:$J$12,2,FALSE)</f>
        <v>-11</v>
      </c>
      <c r="Q77" s="191"/>
      <c r="R77" s="124"/>
    </row>
    <row r="78" spans="1:18" ht="87" customHeight="1">
      <c r="A78" s="129" t="s">
        <v>494</v>
      </c>
      <c r="B78" s="129" t="s">
        <v>258</v>
      </c>
      <c r="C78" s="129" t="s">
        <v>545</v>
      </c>
      <c r="D78" s="137" t="s">
        <v>1159</v>
      </c>
      <c r="E78" s="130" t="s">
        <v>29</v>
      </c>
      <c r="F78" s="131" t="s">
        <v>21</v>
      </c>
      <c r="G78" s="137" t="s">
        <v>496</v>
      </c>
      <c r="H78" s="137" t="s">
        <v>497</v>
      </c>
      <c r="I78" s="132" t="s">
        <v>1260</v>
      </c>
      <c r="J78" s="132" t="s">
        <v>498</v>
      </c>
      <c r="K78" s="132" t="s">
        <v>499</v>
      </c>
      <c r="L78" s="132" t="s">
        <v>500</v>
      </c>
      <c r="M78" s="137" t="s">
        <v>1160</v>
      </c>
      <c r="N78" s="131" t="str">
        <f>VLOOKUP(Table133[[#This Row],[Importance]],'Logic and Calculation'!$H$2:$J$12,3,FALSE)</f>
        <v>Medium</v>
      </c>
      <c r="O78" s="137">
        <v>5</v>
      </c>
      <c r="P78" s="131">
        <f>VLOOKUP(Table133[[#This Row],[Importance]],'Logic and Calculation'!$H$2:$J$12,2,FALSE)</f>
        <v>-7</v>
      </c>
      <c r="Q78" s="192"/>
      <c r="R78" s="124"/>
    </row>
    <row r="79" spans="1:18" ht="43.2" customHeight="1">
      <c r="A79" s="129" t="s">
        <v>494</v>
      </c>
      <c r="B79" s="129" t="s">
        <v>258</v>
      </c>
      <c r="C79" s="129" t="s">
        <v>552</v>
      </c>
      <c r="D79" s="137" t="s">
        <v>1161</v>
      </c>
      <c r="E79" s="164" t="s">
        <v>20</v>
      </c>
      <c r="F79" s="131" t="s">
        <v>21</v>
      </c>
      <c r="G79" s="137" t="s">
        <v>502</v>
      </c>
      <c r="H79" s="137" t="s">
        <v>503</v>
      </c>
      <c r="I79" s="125" t="s">
        <v>1162</v>
      </c>
      <c r="J79" s="132" t="s">
        <v>504</v>
      </c>
      <c r="K79" s="132" t="s">
        <v>505</v>
      </c>
      <c r="L79" s="132" t="s">
        <v>506</v>
      </c>
      <c r="M79" s="137" t="s">
        <v>1163</v>
      </c>
      <c r="N79" s="131" t="str">
        <f>VLOOKUP(Table133[[#This Row],[Importance]],'Logic and Calculation'!$H$2:$J$12,3,FALSE)</f>
        <v>Medium</v>
      </c>
      <c r="O79" s="137">
        <v>5</v>
      </c>
      <c r="P79" s="131">
        <f>VLOOKUP(Table133[[#This Row],[Importance]],'Logic and Calculation'!$H$2:$J$12,2,FALSE)</f>
        <v>-7</v>
      </c>
      <c r="Q79" s="192"/>
      <c r="R79" s="124"/>
    </row>
    <row r="80" spans="1:18" ht="57.6" customHeight="1">
      <c r="A80" s="129" t="s">
        <v>494</v>
      </c>
      <c r="B80" s="129" t="s">
        <v>258</v>
      </c>
      <c r="C80" s="129" t="s">
        <v>559</v>
      </c>
      <c r="D80" s="137" t="s">
        <v>508</v>
      </c>
      <c r="E80" s="130" t="s">
        <v>29</v>
      </c>
      <c r="F80" s="131" t="s">
        <v>21</v>
      </c>
      <c r="G80" s="137" t="s">
        <v>509</v>
      </c>
      <c r="H80" s="137" t="s">
        <v>510</v>
      </c>
      <c r="I80" s="132" t="s">
        <v>511</v>
      </c>
      <c r="J80" s="132" t="s">
        <v>512</v>
      </c>
      <c r="K80" s="132" t="s">
        <v>513</v>
      </c>
      <c r="L80" s="132" t="s">
        <v>514</v>
      </c>
      <c r="M80" s="137" t="s">
        <v>1164</v>
      </c>
      <c r="N80" s="131" t="str">
        <f>VLOOKUP(Table133[[#This Row],[Importance]],'Logic and Calculation'!$H$2:$J$12,3,FALSE)</f>
        <v>Medium</v>
      </c>
      <c r="O80" s="137">
        <v>5</v>
      </c>
      <c r="P80" s="131">
        <f>VLOOKUP(Table133[[#This Row],[Importance]],'Logic and Calculation'!$H$2:$J$12,2,FALSE)</f>
        <v>-7</v>
      </c>
      <c r="Q80" s="192"/>
      <c r="R80" s="124"/>
    </row>
    <row r="81" spans="1:18" ht="72" customHeight="1">
      <c r="A81" s="129" t="s">
        <v>494</v>
      </c>
      <c r="B81" s="129" t="s">
        <v>258</v>
      </c>
      <c r="C81" s="129" t="s">
        <v>560</v>
      </c>
      <c r="D81" s="137" t="s">
        <v>516</v>
      </c>
      <c r="E81" s="164" t="s">
        <v>20</v>
      </c>
      <c r="F81" s="131" t="s">
        <v>21</v>
      </c>
      <c r="G81" s="137" t="s">
        <v>517</v>
      </c>
      <c r="H81" s="137" t="s">
        <v>518</v>
      </c>
      <c r="I81" s="127" t="s">
        <v>1165</v>
      </c>
      <c r="J81" s="132" t="s">
        <v>519</v>
      </c>
      <c r="K81" s="132" t="s">
        <v>520</v>
      </c>
      <c r="L81" s="132" t="s">
        <v>521</v>
      </c>
      <c r="M81" s="137" t="s">
        <v>1166</v>
      </c>
      <c r="N81" s="131" t="str">
        <f>VLOOKUP(Table133[[#This Row],[Importance]],'Logic and Calculation'!$H$2:$J$12,3,FALSE)</f>
        <v>Medium</v>
      </c>
      <c r="O81" s="137">
        <v>5</v>
      </c>
      <c r="P81" s="131">
        <f>VLOOKUP(Table133[[#This Row],[Importance]],'Logic and Calculation'!$H$2:$J$12,2,FALSE)</f>
        <v>-7</v>
      </c>
      <c r="Q81" s="192"/>
      <c r="R81" s="124"/>
    </row>
    <row r="82" spans="1:18" ht="43.2" customHeight="1">
      <c r="A82" s="129" t="s">
        <v>494</v>
      </c>
      <c r="B82" s="129" t="s">
        <v>258</v>
      </c>
      <c r="C82" s="129" t="s">
        <v>567</v>
      </c>
      <c r="D82" s="137" t="s">
        <v>523</v>
      </c>
      <c r="E82" s="164" t="s">
        <v>20</v>
      </c>
      <c r="F82" s="131" t="s">
        <v>21</v>
      </c>
      <c r="G82" s="137" t="s">
        <v>524</v>
      </c>
      <c r="H82" s="137" t="s">
        <v>525</v>
      </c>
      <c r="I82" s="125" t="s">
        <v>1167</v>
      </c>
      <c r="J82" s="132" t="s">
        <v>526</v>
      </c>
      <c r="K82" s="132" t="s">
        <v>527</v>
      </c>
      <c r="L82" s="132" t="s">
        <v>528</v>
      </c>
      <c r="M82" s="137" t="s">
        <v>1168</v>
      </c>
      <c r="N82" s="131" t="str">
        <f>VLOOKUP(Table133[[#This Row],[Importance]],'Logic and Calculation'!$H$2:$J$12,3,FALSE)</f>
        <v>Medium</v>
      </c>
      <c r="O82" s="137">
        <v>5</v>
      </c>
      <c r="P82" s="131">
        <f>VLOOKUP(Table133[[#This Row],[Importance]],'Logic and Calculation'!$H$2:$J$12,2,FALSE)</f>
        <v>-7</v>
      </c>
      <c r="Q82" s="192"/>
      <c r="R82" s="124"/>
    </row>
    <row r="83" spans="1:18" ht="111.6" customHeight="1">
      <c r="A83" s="129" t="s">
        <v>494</v>
      </c>
      <c r="B83" s="129" t="s">
        <v>258</v>
      </c>
      <c r="C83" s="129" t="s">
        <v>574</v>
      </c>
      <c r="D83" s="137" t="s">
        <v>1021</v>
      </c>
      <c r="E83" s="130" t="s">
        <v>29</v>
      </c>
      <c r="F83" s="131" t="s">
        <v>21</v>
      </c>
      <c r="G83" s="137" t="s">
        <v>1022</v>
      </c>
      <c r="H83" s="137" t="s">
        <v>1023</v>
      </c>
      <c r="I83" s="132" t="s">
        <v>1024</v>
      </c>
      <c r="J83" s="132" t="s">
        <v>1025</v>
      </c>
      <c r="K83" s="132" t="s">
        <v>1026</v>
      </c>
      <c r="L83" s="132" t="s">
        <v>1027</v>
      </c>
      <c r="M83" s="137" t="s">
        <v>1169</v>
      </c>
      <c r="N83" s="131" t="str">
        <f>VLOOKUP(Table133[[#This Row],[Importance]],'Logic and Calculation'!$H$2:$J$12,3,FALSE)</f>
        <v>Medium</v>
      </c>
      <c r="O83" s="137">
        <v>6</v>
      </c>
      <c r="P83" s="131">
        <f>VLOOKUP(Table133[[#This Row],[Importance]],'Logic and Calculation'!$H$2:$J$12,2,FALSE)</f>
        <v>-9</v>
      </c>
      <c r="Q83" s="192"/>
      <c r="R83" s="124"/>
    </row>
    <row r="84" spans="1:18" ht="96" customHeight="1">
      <c r="A84" s="138" t="s">
        <v>529</v>
      </c>
      <c r="B84" s="138" t="s">
        <v>258</v>
      </c>
      <c r="C84" s="129" t="s">
        <v>581</v>
      </c>
      <c r="D84" s="143" t="s">
        <v>1170</v>
      </c>
      <c r="E84" s="140" t="s">
        <v>29</v>
      </c>
      <c r="F84" s="139" t="s">
        <v>21</v>
      </c>
      <c r="G84" s="143" t="s">
        <v>531</v>
      </c>
      <c r="H84" s="143" t="s">
        <v>532</v>
      </c>
      <c r="I84" s="143" t="s">
        <v>533</v>
      </c>
      <c r="J84" s="141" t="s">
        <v>534</v>
      </c>
      <c r="K84" s="141" t="s">
        <v>535</v>
      </c>
      <c r="L84" s="141" t="s">
        <v>536</v>
      </c>
      <c r="M84" s="143" t="s">
        <v>1171</v>
      </c>
      <c r="N84" s="139" t="str">
        <f>VLOOKUP(Table133[[#This Row],[Importance]],'Logic and Calculation'!$H$2:$J$12,3,FALSE)</f>
        <v>Medium</v>
      </c>
      <c r="O84" s="143">
        <v>5</v>
      </c>
      <c r="P84" s="139">
        <f>VLOOKUP(Table133[[#This Row],[Importance]],'Logic and Calculation'!$H$2:$J$12,2,FALSE)</f>
        <v>-7</v>
      </c>
      <c r="Q84" s="146"/>
      <c r="R84" s="124"/>
    </row>
    <row r="85" spans="1:18" ht="72" customHeight="1">
      <c r="A85" s="138" t="s">
        <v>529</v>
      </c>
      <c r="B85" s="138" t="s">
        <v>258</v>
      </c>
      <c r="C85" s="129" t="s">
        <v>588</v>
      </c>
      <c r="D85" s="143" t="s">
        <v>1172</v>
      </c>
      <c r="E85" s="140" t="s">
        <v>29</v>
      </c>
      <c r="F85" s="139" t="s">
        <v>21</v>
      </c>
      <c r="G85" s="143" t="s">
        <v>539</v>
      </c>
      <c r="H85" s="143" t="s">
        <v>540</v>
      </c>
      <c r="I85" s="143" t="s">
        <v>541</v>
      </c>
      <c r="J85" s="141" t="s">
        <v>542</v>
      </c>
      <c r="K85" s="141" t="s">
        <v>543</v>
      </c>
      <c r="L85" s="141" t="s">
        <v>544</v>
      </c>
      <c r="M85" s="143" t="s">
        <v>1173</v>
      </c>
      <c r="N85" s="139" t="str">
        <f>VLOOKUP(Table133[[#This Row],[Importance]],'Logic and Calculation'!$H$2:$J$12,3,FALSE)</f>
        <v>Medium</v>
      </c>
      <c r="O85" s="143">
        <v>5</v>
      </c>
      <c r="P85" s="139">
        <f>VLOOKUP(Table133[[#This Row],[Importance]],'Logic and Calculation'!$H$2:$J$12,2,FALSE)</f>
        <v>-7</v>
      </c>
      <c r="Q85" s="146"/>
      <c r="R85" s="124"/>
    </row>
    <row r="86" spans="1:18" ht="43.2" customHeight="1">
      <c r="A86" s="138" t="s">
        <v>529</v>
      </c>
      <c r="B86" s="138" t="s">
        <v>258</v>
      </c>
      <c r="C86" s="129" t="s">
        <v>595</v>
      </c>
      <c r="D86" s="143" t="s">
        <v>1174</v>
      </c>
      <c r="E86" s="140" t="s">
        <v>29</v>
      </c>
      <c r="F86" s="139" t="s">
        <v>21</v>
      </c>
      <c r="G86" s="143" t="s">
        <v>546</v>
      </c>
      <c r="H86" s="143" t="s">
        <v>547</v>
      </c>
      <c r="I86" s="141" t="s">
        <v>548</v>
      </c>
      <c r="J86" s="141" t="s">
        <v>549</v>
      </c>
      <c r="K86" s="141" t="s">
        <v>550</v>
      </c>
      <c r="L86" s="141" t="s">
        <v>551</v>
      </c>
      <c r="M86" s="143" t="s">
        <v>1175</v>
      </c>
      <c r="N86" s="139" t="str">
        <f>VLOOKUP(Table133[[#This Row],[Importance]],'Logic and Calculation'!$H$2:$J$12,3,FALSE)</f>
        <v>Medium</v>
      </c>
      <c r="O86" s="143">
        <v>5</v>
      </c>
      <c r="P86" s="139">
        <f>VLOOKUP(Table133[[#This Row],[Importance]],'Logic and Calculation'!$H$2:$J$12,2,FALSE)</f>
        <v>-7</v>
      </c>
      <c r="Q86" s="146"/>
      <c r="R86" s="124"/>
    </row>
    <row r="87" spans="1:18" ht="43.2" customHeight="1">
      <c r="A87" s="138" t="s">
        <v>529</v>
      </c>
      <c r="B87" s="138" t="s">
        <v>258</v>
      </c>
      <c r="C87" s="129" t="s">
        <v>604</v>
      </c>
      <c r="D87" s="143" t="s">
        <v>1176</v>
      </c>
      <c r="E87" s="140" t="s">
        <v>29</v>
      </c>
      <c r="F87" s="139" t="s">
        <v>21</v>
      </c>
      <c r="G87" s="143" t="s">
        <v>553</v>
      </c>
      <c r="H87" s="143" t="s">
        <v>554</v>
      </c>
      <c r="I87" s="141" t="s">
        <v>555</v>
      </c>
      <c r="J87" s="141" t="s">
        <v>556</v>
      </c>
      <c r="K87" s="141" t="s">
        <v>557</v>
      </c>
      <c r="L87" s="141" t="s">
        <v>558</v>
      </c>
      <c r="M87" s="143" t="s">
        <v>1177</v>
      </c>
      <c r="N87" s="139" t="str">
        <f>VLOOKUP(Table133[[#This Row],[Importance]],'Logic and Calculation'!$H$2:$J$12,3,FALSE)</f>
        <v>Medium</v>
      </c>
      <c r="O87" s="143">
        <v>5</v>
      </c>
      <c r="P87" s="139">
        <f>VLOOKUP(Table133[[#This Row],[Importance]],'Logic and Calculation'!$H$2:$J$12,2,FALSE)</f>
        <v>-7</v>
      </c>
      <c r="Q87" s="146"/>
      <c r="R87" s="124"/>
    </row>
    <row r="88" spans="1:18" ht="43.2" customHeight="1">
      <c r="A88" s="138" t="s">
        <v>529</v>
      </c>
      <c r="B88" s="138" t="s">
        <v>258</v>
      </c>
      <c r="C88" s="129" t="s">
        <v>611</v>
      </c>
      <c r="D88" s="143" t="s">
        <v>1261</v>
      </c>
      <c r="E88" s="140" t="s">
        <v>29</v>
      </c>
      <c r="F88" s="139" t="s">
        <v>21</v>
      </c>
      <c r="G88" s="143" t="s">
        <v>1264</v>
      </c>
      <c r="H88" s="143" t="s">
        <v>1265</v>
      </c>
      <c r="I88" s="141" t="s">
        <v>1266</v>
      </c>
      <c r="J88" s="141" t="s">
        <v>1267</v>
      </c>
      <c r="K88" s="141" t="s">
        <v>557</v>
      </c>
      <c r="L88" s="141" t="s">
        <v>1268</v>
      </c>
      <c r="M88" s="143" t="s">
        <v>1177</v>
      </c>
      <c r="N88" s="139" t="str">
        <f>VLOOKUP(Table133[[#This Row],[Importance]],'Logic and Calculation'!$H$2:$J$12,3,FALSE)</f>
        <v>Medium</v>
      </c>
      <c r="O88" s="143">
        <v>5</v>
      </c>
      <c r="P88" s="139">
        <f>VLOOKUP(Table133[[#This Row],[Importance]],'Logic and Calculation'!$H$2:$J$12,2,FALSE)</f>
        <v>-7</v>
      </c>
      <c r="Q88" s="146"/>
      <c r="R88" s="160"/>
    </row>
    <row r="89" spans="1:18" ht="43.2" customHeight="1">
      <c r="A89" s="138" t="s">
        <v>529</v>
      </c>
      <c r="B89" s="138" t="s">
        <v>258</v>
      </c>
      <c r="C89" s="129" t="s">
        <v>612</v>
      </c>
      <c r="D89" s="143" t="s">
        <v>1262</v>
      </c>
      <c r="E89" s="140" t="s">
        <v>29</v>
      </c>
      <c r="F89" s="139" t="s">
        <v>21</v>
      </c>
      <c r="G89" s="143" t="s">
        <v>1269</v>
      </c>
      <c r="H89" s="143" t="s">
        <v>1271</v>
      </c>
      <c r="I89" s="141" t="s">
        <v>1273</v>
      </c>
      <c r="J89" s="141" t="s">
        <v>1274</v>
      </c>
      <c r="K89" s="141" t="s">
        <v>557</v>
      </c>
      <c r="L89" s="141" t="s">
        <v>1275</v>
      </c>
      <c r="M89" s="143" t="s">
        <v>1177</v>
      </c>
      <c r="N89" s="139" t="str">
        <f>VLOOKUP(Table133[[#This Row],[Importance]],'Logic and Calculation'!$H$2:$J$12,3,FALSE)</f>
        <v>Medium</v>
      </c>
      <c r="O89" s="143">
        <v>5</v>
      </c>
      <c r="P89" s="139">
        <f>VLOOKUP(Table133[[#This Row],[Importance]],'Logic and Calculation'!$H$2:$J$12,2,FALSE)</f>
        <v>-7</v>
      </c>
      <c r="Q89" s="146"/>
      <c r="R89" s="160"/>
    </row>
    <row r="90" spans="1:18" ht="43.2" customHeight="1">
      <c r="A90" s="138" t="s">
        <v>529</v>
      </c>
      <c r="B90" s="138" t="s">
        <v>258</v>
      </c>
      <c r="C90" s="129" t="s">
        <v>619</v>
      </c>
      <c r="D90" s="143" t="s">
        <v>1263</v>
      </c>
      <c r="E90" s="140" t="s">
        <v>29</v>
      </c>
      <c r="F90" s="139" t="s">
        <v>21</v>
      </c>
      <c r="G90" s="143" t="s">
        <v>1270</v>
      </c>
      <c r="H90" s="143" t="s">
        <v>1272</v>
      </c>
      <c r="I90" s="141" t="s">
        <v>1278</v>
      </c>
      <c r="J90" s="141" t="s">
        <v>1277</v>
      </c>
      <c r="K90" s="141" t="s">
        <v>557</v>
      </c>
      <c r="L90" s="141" t="s">
        <v>1276</v>
      </c>
      <c r="M90" s="143" t="s">
        <v>1177</v>
      </c>
      <c r="N90" s="139" t="str">
        <f>VLOOKUP(Table133[[#This Row],[Importance]],'Logic and Calculation'!$H$2:$J$12,3,FALSE)</f>
        <v>Medium</v>
      </c>
      <c r="O90" s="143">
        <v>5</v>
      </c>
      <c r="P90" s="139">
        <f>VLOOKUP(Table133[[#This Row],[Importance]],'Logic and Calculation'!$H$2:$J$12,2,FALSE)</f>
        <v>-7</v>
      </c>
      <c r="Q90" s="146"/>
      <c r="R90" s="160"/>
    </row>
    <row r="91" spans="1:18" ht="60" customHeight="1">
      <c r="A91" s="147" t="s">
        <v>1020</v>
      </c>
      <c r="B91" s="147" t="s">
        <v>258</v>
      </c>
      <c r="C91" s="129" t="s">
        <v>626</v>
      </c>
      <c r="D91" s="153" t="s">
        <v>561</v>
      </c>
      <c r="E91" s="164" t="s">
        <v>20</v>
      </c>
      <c r="F91" s="154" t="s">
        <v>21</v>
      </c>
      <c r="G91" s="153" t="s">
        <v>562</v>
      </c>
      <c r="H91" s="153" t="s">
        <v>563</v>
      </c>
      <c r="I91" s="127" t="s">
        <v>1178</v>
      </c>
      <c r="J91" s="119" t="s">
        <v>564</v>
      </c>
      <c r="K91" s="119" t="s">
        <v>565</v>
      </c>
      <c r="L91" s="119" t="s">
        <v>566</v>
      </c>
      <c r="M91" s="153" t="s">
        <v>1179</v>
      </c>
      <c r="N91" s="154" t="str">
        <f>VLOOKUP(Table133[[#This Row],[Importance]],'Logic and Calculation'!$H$2:$J$12,3,FALSE)</f>
        <v>Medium</v>
      </c>
      <c r="O91" s="153">
        <v>5</v>
      </c>
      <c r="P91" s="154">
        <f>VLOOKUP(Table133[[#This Row],[Importance]],'Logic and Calculation'!$H$2:$J$12,2,FALSE)</f>
        <v>-7</v>
      </c>
      <c r="Q91" s="155"/>
      <c r="R91" s="124"/>
    </row>
    <row r="92" spans="1:18" ht="72" customHeight="1">
      <c r="A92" s="147" t="s">
        <v>1020</v>
      </c>
      <c r="B92" s="147" t="s">
        <v>258</v>
      </c>
      <c r="C92" s="129" t="s">
        <v>634</v>
      </c>
      <c r="D92" s="153" t="s">
        <v>568</v>
      </c>
      <c r="E92" s="164" t="s">
        <v>20</v>
      </c>
      <c r="F92" s="154" t="s">
        <v>21</v>
      </c>
      <c r="G92" s="153" t="s">
        <v>569</v>
      </c>
      <c r="H92" s="153" t="s">
        <v>570</v>
      </c>
      <c r="I92" s="127" t="s">
        <v>1180</v>
      </c>
      <c r="J92" s="119" t="s">
        <v>571</v>
      </c>
      <c r="K92" s="119" t="s">
        <v>572</v>
      </c>
      <c r="L92" s="119" t="s">
        <v>573</v>
      </c>
      <c r="M92" s="153" t="s">
        <v>1128</v>
      </c>
      <c r="N92" s="154" t="str">
        <f>VLOOKUP(Table133[[#This Row],[Importance]],'Logic and Calculation'!$H$2:$J$12,3,FALSE)</f>
        <v>Medium</v>
      </c>
      <c r="O92" s="153">
        <v>5</v>
      </c>
      <c r="P92" s="154">
        <f>VLOOKUP(Table133[[#This Row],[Importance]],'Logic and Calculation'!$H$2:$J$12,2,FALSE)</f>
        <v>-7</v>
      </c>
      <c r="Q92" s="155"/>
      <c r="R92" s="124"/>
    </row>
    <row r="93" spans="1:18" ht="72" customHeight="1">
      <c r="A93" s="147" t="s">
        <v>1020</v>
      </c>
      <c r="B93" s="147" t="s">
        <v>258</v>
      </c>
      <c r="C93" s="129" t="s">
        <v>642</v>
      </c>
      <c r="D93" s="153" t="s">
        <v>575</v>
      </c>
      <c r="E93" s="165" t="s">
        <v>29</v>
      </c>
      <c r="F93" s="154" t="s">
        <v>21</v>
      </c>
      <c r="G93" s="153" t="s">
        <v>576</v>
      </c>
      <c r="H93" s="153" t="s">
        <v>577</v>
      </c>
      <c r="I93" s="153" t="s">
        <v>1300</v>
      </c>
      <c r="J93" s="119" t="s">
        <v>578</v>
      </c>
      <c r="K93" s="119" t="s">
        <v>579</v>
      </c>
      <c r="L93" s="119" t="s">
        <v>580</v>
      </c>
      <c r="M93" s="153" t="s">
        <v>1181</v>
      </c>
      <c r="N93" s="154" t="str">
        <f>VLOOKUP(Table133[[#This Row],[Importance]],'Logic and Calculation'!$H$2:$J$12,3,FALSE)</f>
        <v>Medium</v>
      </c>
      <c r="O93" s="153">
        <v>5</v>
      </c>
      <c r="P93" s="154">
        <f>VLOOKUP(Table133[[#This Row],[Importance]],'Logic and Calculation'!$H$2:$J$12,2,FALSE)</f>
        <v>-7</v>
      </c>
      <c r="Q93" s="155"/>
      <c r="R93" s="124"/>
    </row>
    <row r="94" spans="1:18" ht="72" customHeight="1">
      <c r="A94" s="147" t="s">
        <v>1020</v>
      </c>
      <c r="B94" s="147" t="s">
        <v>258</v>
      </c>
      <c r="C94" s="129" t="s">
        <v>650</v>
      </c>
      <c r="D94" s="153" t="s">
        <v>582</v>
      </c>
      <c r="E94" s="165" t="s">
        <v>29</v>
      </c>
      <c r="F94" s="154" t="s">
        <v>21</v>
      </c>
      <c r="G94" s="153" t="s">
        <v>583</v>
      </c>
      <c r="H94" s="153" t="s">
        <v>584</v>
      </c>
      <c r="I94" s="153" t="s">
        <v>1301</v>
      </c>
      <c r="J94" s="119" t="s">
        <v>585</v>
      </c>
      <c r="K94" s="119" t="s">
        <v>586</v>
      </c>
      <c r="L94" s="119" t="s">
        <v>587</v>
      </c>
      <c r="M94" s="153" t="s">
        <v>1182</v>
      </c>
      <c r="N94" s="154" t="str">
        <f>VLOOKUP(Table133[[#This Row],[Importance]],'Logic and Calculation'!$H$2:$J$12,3,FALSE)</f>
        <v>Medium</v>
      </c>
      <c r="O94" s="153">
        <v>5</v>
      </c>
      <c r="P94" s="154">
        <f>VLOOKUP(Table133[[#This Row],[Importance]],'Logic and Calculation'!$H$2:$J$12,2,FALSE)</f>
        <v>-7</v>
      </c>
      <c r="Q94" s="155"/>
      <c r="R94" s="124"/>
    </row>
    <row r="95" spans="1:18" ht="84" customHeight="1">
      <c r="A95" s="147" t="s">
        <v>1020</v>
      </c>
      <c r="B95" s="147" t="s">
        <v>258</v>
      </c>
      <c r="C95" s="129" t="s">
        <v>658</v>
      </c>
      <c r="D95" s="153" t="s">
        <v>589</v>
      </c>
      <c r="E95" s="164" t="s">
        <v>20</v>
      </c>
      <c r="F95" s="154" t="s">
        <v>21</v>
      </c>
      <c r="G95" s="153" t="s">
        <v>590</v>
      </c>
      <c r="H95" s="153" t="s">
        <v>591</v>
      </c>
      <c r="I95" s="127" t="s">
        <v>1183</v>
      </c>
      <c r="J95" s="119" t="s">
        <v>592</v>
      </c>
      <c r="K95" s="119" t="s">
        <v>593</v>
      </c>
      <c r="L95" s="119" t="s">
        <v>594</v>
      </c>
      <c r="M95" s="153" t="s">
        <v>1184</v>
      </c>
      <c r="N95" s="154" t="str">
        <f>VLOOKUP(Table133[[#This Row],[Importance]],'Logic and Calculation'!$H$2:$J$12,3,FALSE)</f>
        <v>Medium</v>
      </c>
      <c r="O95" s="153">
        <v>5</v>
      </c>
      <c r="P95" s="154">
        <f>VLOOKUP(Table133[[#This Row],[Importance]],'Logic and Calculation'!$H$2:$J$12,2,FALSE)</f>
        <v>-7</v>
      </c>
      <c r="Q95" s="155"/>
      <c r="R95" s="124"/>
    </row>
    <row r="96" spans="1:18" ht="72" customHeight="1">
      <c r="A96" s="147" t="s">
        <v>1020</v>
      </c>
      <c r="B96" s="147" t="s">
        <v>258</v>
      </c>
      <c r="C96" s="129" t="s">
        <v>659</v>
      </c>
      <c r="D96" s="153" t="s">
        <v>596</v>
      </c>
      <c r="E96" s="164" t="s">
        <v>20</v>
      </c>
      <c r="F96" s="154" t="s">
        <v>21</v>
      </c>
      <c r="G96" s="153" t="s">
        <v>597</v>
      </c>
      <c r="H96" s="153" t="s">
        <v>598</v>
      </c>
      <c r="I96" s="127" t="s">
        <v>1185</v>
      </c>
      <c r="J96" s="119" t="s">
        <v>599</v>
      </c>
      <c r="K96" s="119" t="s">
        <v>600</v>
      </c>
      <c r="L96" s="119" t="s">
        <v>601</v>
      </c>
      <c r="M96" s="153" t="s">
        <v>1186</v>
      </c>
      <c r="N96" s="154" t="str">
        <f>VLOOKUP(Table133[[#This Row],[Importance]],'Logic and Calculation'!$H$2:$J$12,3,FALSE)</f>
        <v>Medium</v>
      </c>
      <c r="O96" s="153">
        <v>5</v>
      </c>
      <c r="P96" s="154">
        <f>VLOOKUP(Table133[[#This Row],[Importance]],'Logic and Calculation'!$H$2:$J$12,2,FALSE)</f>
        <v>-7</v>
      </c>
      <c r="Q96" s="155"/>
      <c r="R96" s="124"/>
    </row>
    <row r="97" spans="1:18" ht="72" customHeight="1">
      <c r="A97" s="147" t="s">
        <v>1020</v>
      </c>
      <c r="B97" s="147" t="s">
        <v>258</v>
      </c>
      <c r="C97" s="129" t="s">
        <v>661</v>
      </c>
      <c r="D97" s="153" t="s">
        <v>1035</v>
      </c>
      <c r="E97" s="165" t="s">
        <v>29</v>
      </c>
      <c r="F97" s="154" t="s">
        <v>21</v>
      </c>
      <c r="G97" s="153" t="s">
        <v>1036</v>
      </c>
      <c r="H97" s="153" t="s">
        <v>1037</v>
      </c>
      <c r="I97" s="153" t="s">
        <v>1302</v>
      </c>
      <c r="J97" s="119" t="s">
        <v>1038</v>
      </c>
      <c r="K97" s="119" t="s">
        <v>1039</v>
      </c>
      <c r="L97" s="119" t="s">
        <v>1040</v>
      </c>
      <c r="M97" s="153" t="s">
        <v>1187</v>
      </c>
      <c r="N97" s="154" t="str">
        <f>VLOOKUP(Table133[[#This Row],[Importance]],'Logic and Calculation'!$H$2:$J$12,3,FALSE)</f>
        <v>Medium</v>
      </c>
      <c r="O97" s="153">
        <v>5</v>
      </c>
      <c r="P97" s="154">
        <f>VLOOKUP(Table133[[#This Row],[Importance]],'Logic and Calculation'!$H$2:$J$12,2,FALSE)</f>
        <v>-7</v>
      </c>
      <c r="Q97" s="155"/>
      <c r="R97" s="124"/>
    </row>
    <row r="98" spans="1:18" ht="72" customHeight="1">
      <c r="A98" s="156" t="s">
        <v>602</v>
      </c>
      <c r="B98" s="156" t="s">
        <v>603</v>
      </c>
      <c r="C98" s="129" t="s">
        <v>668</v>
      </c>
      <c r="D98" s="157" t="s">
        <v>605</v>
      </c>
      <c r="E98" s="166" t="s">
        <v>29</v>
      </c>
      <c r="F98" s="158" t="s">
        <v>21</v>
      </c>
      <c r="G98" s="157" t="s">
        <v>606</v>
      </c>
      <c r="H98" s="157" t="s">
        <v>607</v>
      </c>
      <c r="I98" s="157" t="s">
        <v>1303</v>
      </c>
      <c r="J98" s="193" t="s">
        <v>608</v>
      </c>
      <c r="K98" s="193" t="s">
        <v>609</v>
      </c>
      <c r="L98" s="193" t="s">
        <v>610</v>
      </c>
      <c r="M98" s="157" t="s">
        <v>1188</v>
      </c>
      <c r="N98" s="158" t="str">
        <f>VLOOKUP(Table133[[#This Row],[Importance]],'Logic and Calculation'!$H$2:$J$12,3,FALSE)</f>
        <v>Medium</v>
      </c>
      <c r="O98" s="157">
        <v>5</v>
      </c>
      <c r="P98" s="158">
        <f>VLOOKUP(Table133[[#This Row],[Importance]],'Logic and Calculation'!$H$2:$J$12,2,FALSE)</f>
        <v>-7</v>
      </c>
      <c r="Q98" s="159"/>
      <c r="R98" s="124"/>
    </row>
    <row r="99" spans="1:18" ht="72" customHeight="1">
      <c r="A99" s="156" t="s">
        <v>602</v>
      </c>
      <c r="B99" s="156" t="s">
        <v>603</v>
      </c>
      <c r="C99" s="129" t="s">
        <v>669</v>
      </c>
      <c r="D99" s="157" t="s">
        <v>1189</v>
      </c>
      <c r="E99" s="166" t="s">
        <v>29</v>
      </c>
      <c r="F99" s="158" t="s">
        <v>21</v>
      </c>
      <c r="G99" s="157" t="s">
        <v>613</v>
      </c>
      <c r="H99" s="157" t="s">
        <v>614</v>
      </c>
      <c r="I99" s="157" t="s">
        <v>615</v>
      </c>
      <c r="J99" s="193" t="s">
        <v>616</v>
      </c>
      <c r="K99" s="193" t="s">
        <v>617</v>
      </c>
      <c r="L99" s="193" t="s">
        <v>618</v>
      </c>
      <c r="M99" s="157" t="s">
        <v>1190</v>
      </c>
      <c r="N99" s="158" t="str">
        <f>VLOOKUP(Table133[[#This Row],[Importance]],'Logic and Calculation'!$H$2:$J$12,3,FALSE)</f>
        <v>High</v>
      </c>
      <c r="O99" s="157">
        <v>8</v>
      </c>
      <c r="P99" s="158">
        <f>VLOOKUP(Table133[[#This Row],[Importance]],'Logic and Calculation'!$H$2:$J$12,2,FALSE)</f>
        <v>-13</v>
      </c>
      <c r="Q99" s="159"/>
      <c r="R99" s="124"/>
    </row>
    <row r="100" spans="1:18" ht="43.2" customHeight="1">
      <c r="A100" s="156" t="s">
        <v>602</v>
      </c>
      <c r="B100" s="156" t="s">
        <v>603</v>
      </c>
      <c r="C100" s="129" t="s">
        <v>676</v>
      </c>
      <c r="D100" s="157" t="s">
        <v>1191</v>
      </c>
      <c r="E100" s="166" t="s">
        <v>29</v>
      </c>
      <c r="F100" s="158" t="s">
        <v>21</v>
      </c>
      <c r="G100" s="157" t="s">
        <v>620</v>
      </c>
      <c r="H100" s="157" t="s">
        <v>621</v>
      </c>
      <c r="I100" s="118" t="s">
        <v>622</v>
      </c>
      <c r="J100" s="193" t="s">
        <v>623</v>
      </c>
      <c r="K100" s="193" t="s">
        <v>624</v>
      </c>
      <c r="L100" s="193" t="s">
        <v>625</v>
      </c>
      <c r="M100" s="157" t="s">
        <v>1192</v>
      </c>
      <c r="N100" s="158" t="str">
        <f>VLOOKUP(Table133[[#This Row],[Importance]],'Logic and Calculation'!$H$2:$J$12,3,FALSE)</f>
        <v>High</v>
      </c>
      <c r="O100" s="157">
        <v>8</v>
      </c>
      <c r="P100" s="158">
        <f>VLOOKUP(Table133[[#This Row],[Importance]],'Logic and Calculation'!$H$2:$J$12,2,FALSE)</f>
        <v>-13</v>
      </c>
      <c r="Q100" s="159"/>
      <c r="R100" s="124"/>
    </row>
    <row r="101" spans="1:18" ht="43.2" customHeight="1">
      <c r="A101" s="156" t="s">
        <v>602</v>
      </c>
      <c r="B101" s="156" t="s">
        <v>603</v>
      </c>
      <c r="C101" s="129" t="s">
        <v>683</v>
      </c>
      <c r="D101" s="157" t="s">
        <v>627</v>
      </c>
      <c r="E101" s="166" t="s">
        <v>29</v>
      </c>
      <c r="F101" s="158" t="s">
        <v>21</v>
      </c>
      <c r="G101" s="157" t="s">
        <v>628</v>
      </c>
      <c r="H101" s="157" t="s">
        <v>629</v>
      </c>
      <c r="I101" s="118" t="s">
        <v>630</v>
      </c>
      <c r="J101" s="193" t="s">
        <v>631</v>
      </c>
      <c r="K101" s="193" t="s">
        <v>632</v>
      </c>
      <c r="L101" s="193" t="s">
        <v>633</v>
      </c>
      <c r="M101" s="157" t="s">
        <v>1193</v>
      </c>
      <c r="N101" s="158" t="str">
        <f>VLOOKUP(Table133[[#This Row],[Importance]],'Logic and Calculation'!$H$2:$J$12,3,FALSE)</f>
        <v>Critical</v>
      </c>
      <c r="O101" s="157">
        <v>10</v>
      </c>
      <c r="P101" s="158">
        <f>VLOOKUP(Table133[[#This Row],[Importance]],'Logic and Calculation'!$H$2:$J$12,2,FALSE)</f>
        <v>-18</v>
      </c>
      <c r="Q101" s="159"/>
      <c r="R101" s="124"/>
    </row>
    <row r="102" spans="1:18" ht="87" customHeight="1">
      <c r="A102" s="156" t="s">
        <v>602</v>
      </c>
      <c r="B102" s="156" t="s">
        <v>603</v>
      </c>
      <c r="C102" s="129" t="s">
        <v>690</v>
      </c>
      <c r="D102" s="157" t="s">
        <v>635</v>
      </c>
      <c r="E102" s="166" t="s">
        <v>29</v>
      </c>
      <c r="F102" s="158" t="s">
        <v>21</v>
      </c>
      <c r="G102" s="157" t="s">
        <v>636</v>
      </c>
      <c r="H102" s="157" t="s">
        <v>637</v>
      </c>
      <c r="I102" s="118" t="s">
        <v>1285</v>
      </c>
      <c r="J102" s="193" t="s">
        <v>639</v>
      </c>
      <c r="K102" s="193" t="s">
        <v>640</v>
      </c>
      <c r="L102" s="193" t="s">
        <v>641</v>
      </c>
      <c r="M102" s="157" t="s">
        <v>1194</v>
      </c>
      <c r="N102" s="158" t="str">
        <f>VLOOKUP(Table133[[#This Row],[Importance]],'Logic and Calculation'!$H$2:$J$12,3,FALSE)</f>
        <v>Medium</v>
      </c>
      <c r="O102" s="157">
        <v>5</v>
      </c>
      <c r="P102" s="158">
        <f>VLOOKUP(Table133[[#This Row],[Importance]],'Logic and Calculation'!$H$2:$J$12,2,FALSE)</f>
        <v>-7</v>
      </c>
      <c r="Q102" s="159"/>
      <c r="R102" s="124"/>
    </row>
    <row r="103" spans="1:18" ht="43.2" customHeight="1">
      <c r="A103" s="156" t="s">
        <v>602</v>
      </c>
      <c r="B103" s="156" t="s">
        <v>603</v>
      </c>
      <c r="C103" s="129" t="s">
        <v>691</v>
      </c>
      <c r="D103" s="157" t="s">
        <v>643</v>
      </c>
      <c r="E103" s="164" t="s">
        <v>20</v>
      </c>
      <c r="F103" s="158" t="s">
        <v>21</v>
      </c>
      <c r="G103" s="157" t="s">
        <v>644</v>
      </c>
      <c r="H103" s="157" t="s">
        <v>645</v>
      </c>
      <c r="I103" s="125" t="s">
        <v>646</v>
      </c>
      <c r="J103" s="193" t="s">
        <v>647</v>
      </c>
      <c r="K103" s="193" t="s">
        <v>648</v>
      </c>
      <c r="L103" s="193" t="s">
        <v>649</v>
      </c>
      <c r="M103" s="157" t="s">
        <v>1195</v>
      </c>
      <c r="N103" s="158" t="str">
        <f>VLOOKUP(Table133[[#This Row],[Importance]],'Logic and Calculation'!$H$2:$J$12,3,FALSE)</f>
        <v>Medium</v>
      </c>
      <c r="O103" s="157">
        <v>5</v>
      </c>
      <c r="P103" s="158">
        <f>VLOOKUP(Table133[[#This Row],[Importance]],'Logic and Calculation'!$H$2:$J$12,2,FALSE)</f>
        <v>-7</v>
      </c>
      <c r="Q103" s="159"/>
      <c r="R103" s="124"/>
    </row>
    <row r="104" spans="1:18" ht="57.6" customHeight="1">
      <c r="A104" s="156" t="s">
        <v>602</v>
      </c>
      <c r="B104" s="156" t="s">
        <v>603</v>
      </c>
      <c r="C104" s="129" t="s">
        <v>699</v>
      </c>
      <c r="D104" s="157" t="s">
        <v>651</v>
      </c>
      <c r="E104" s="166" t="s">
        <v>29</v>
      </c>
      <c r="F104" s="158" t="s">
        <v>21</v>
      </c>
      <c r="G104" s="157" t="s">
        <v>652</v>
      </c>
      <c r="H104" s="157" t="s">
        <v>653</v>
      </c>
      <c r="I104" s="118" t="s">
        <v>654</v>
      </c>
      <c r="J104" s="193" t="s">
        <v>655</v>
      </c>
      <c r="K104" s="193" t="s">
        <v>656</v>
      </c>
      <c r="L104" s="193" t="s">
        <v>657</v>
      </c>
      <c r="M104" s="157" t="s">
        <v>1196</v>
      </c>
      <c r="N104" s="158" t="str">
        <f>VLOOKUP(Table133[[#This Row],[Importance]],'Logic and Calculation'!$H$2:$J$12,3,FALSE)</f>
        <v>Visibility</v>
      </c>
      <c r="O104" s="157">
        <v>1</v>
      </c>
      <c r="P104" s="158">
        <f>VLOOKUP(Table133[[#This Row],[Importance]],'Logic and Calculation'!$H$2:$J$12,2,FALSE)</f>
        <v>0</v>
      </c>
      <c r="Q104" s="159"/>
      <c r="R104" s="124"/>
    </row>
    <row r="105" spans="1:18" ht="84" customHeight="1">
      <c r="A105" s="156" t="s">
        <v>660</v>
      </c>
      <c r="B105" s="156" t="s">
        <v>603</v>
      </c>
      <c r="C105" s="129" t="s">
        <v>706</v>
      </c>
      <c r="D105" s="157" t="s">
        <v>662</v>
      </c>
      <c r="E105" s="127" t="s">
        <v>20</v>
      </c>
      <c r="F105" s="158" t="s">
        <v>21</v>
      </c>
      <c r="G105" s="157" t="s">
        <v>663</v>
      </c>
      <c r="H105" s="157" t="s">
        <v>664</v>
      </c>
      <c r="I105" s="127" t="s">
        <v>20</v>
      </c>
      <c r="J105" s="193" t="s">
        <v>665</v>
      </c>
      <c r="K105" s="193" t="s">
        <v>666</v>
      </c>
      <c r="L105" s="193" t="s">
        <v>667</v>
      </c>
      <c r="M105" s="157" t="s">
        <v>1197</v>
      </c>
      <c r="N105" s="158" t="str">
        <f>VLOOKUP(Table133[[#This Row],[Importance]],'Logic and Calculation'!$H$2:$J$12,3,FALSE)</f>
        <v>Medium</v>
      </c>
      <c r="O105" s="157">
        <v>5</v>
      </c>
      <c r="P105" s="158">
        <f>VLOOKUP(Table133[[#This Row],[Importance]],'Logic and Calculation'!$H$2:$J$12,2,FALSE)</f>
        <v>-7</v>
      </c>
      <c r="Q105" s="159"/>
      <c r="R105" s="124"/>
    </row>
    <row r="106" spans="1:18" ht="43.2" customHeight="1">
      <c r="A106" s="156" t="s">
        <v>660</v>
      </c>
      <c r="B106" s="156" t="s">
        <v>603</v>
      </c>
      <c r="C106" s="129" t="s">
        <v>715</v>
      </c>
      <c r="D106" s="157" t="s">
        <v>670</v>
      </c>
      <c r="E106" s="164" t="s">
        <v>20</v>
      </c>
      <c r="F106" s="158" t="s">
        <v>21</v>
      </c>
      <c r="G106" s="157" t="s">
        <v>671</v>
      </c>
      <c r="H106" s="157" t="s">
        <v>672</v>
      </c>
      <c r="I106" s="125" t="s">
        <v>1198</v>
      </c>
      <c r="J106" s="193" t="s">
        <v>673</v>
      </c>
      <c r="K106" s="193" t="s">
        <v>674</v>
      </c>
      <c r="L106" s="193" t="s">
        <v>675</v>
      </c>
      <c r="M106" s="157" t="s">
        <v>1199</v>
      </c>
      <c r="N106" s="158" t="str">
        <f>VLOOKUP(Table133[[#This Row],[Importance]],'Logic and Calculation'!$H$2:$J$12,3,FALSE)</f>
        <v>Medium</v>
      </c>
      <c r="O106" s="157">
        <v>5</v>
      </c>
      <c r="P106" s="158">
        <f>VLOOKUP(Table133[[#This Row],[Importance]],'Logic and Calculation'!$H$2:$J$12,2,FALSE)</f>
        <v>-7</v>
      </c>
      <c r="Q106" s="159"/>
      <c r="R106" s="124"/>
    </row>
    <row r="107" spans="1:18" ht="72" customHeight="1">
      <c r="A107" s="156" t="s">
        <v>660</v>
      </c>
      <c r="B107" s="156" t="s">
        <v>603</v>
      </c>
      <c r="C107" s="129" t="s">
        <v>722</v>
      </c>
      <c r="D107" s="157" t="s">
        <v>677</v>
      </c>
      <c r="E107" s="164" t="s">
        <v>20</v>
      </c>
      <c r="F107" s="158" t="s">
        <v>21</v>
      </c>
      <c r="G107" s="157" t="s">
        <v>678</v>
      </c>
      <c r="H107" s="157" t="s">
        <v>679</v>
      </c>
      <c r="I107" s="127" t="s">
        <v>1200</v>
      </c>
      <c r="J107" s="193" t="s">
        <v>680</v>
      </c>
      <c r="K107" s="193" t="s">
        <v>681</v>
      </c>
      <c r="L107" s="193" t="s">
        <v>682</v>
      </c>
      <c r="M107" s="157" t="s">
        <v>1201</v>
      </c>
      <c r="N107" s="158" t="str">
        <f>VLOOKUP(Table133[[#This Row],[Importance]],'Logic and Calculation'!$H$2:$J$12,3,FALSE)</f>
        <v>Medium</v>
      </c>
      <c r="O107" s="157">
        <v>5</v>
      </c>
      <c r="P107" s="158">
        <f>VLOOKUP(Table133[[#This Row],[Importance]],'Logic and Calculation'!$H$2:$J$12,2,FALSE)</f>
        <v>-7</v>
      </c>
      <c r="Q107" s="159"/>
      <c r="R107" s="124"/>
    </row>
    <row r="108" spans="1:18" ht="43.2" customHeight="1">
      <c r="A108" s="194" t="s">
        <v>660</v>
      </c>
      <c r="B108" s="156" t="s">
        <v>603</v>
      </c>
      <c r="C108" s="129" t="s">
        <v>729</v>
      </c>
      <c r="D108" s="157" t="s">
        <v>684</v>
      </c>
      <c r="E108" s="164" t="s">
        <v>20</v>
      </c>
      <c r="F108" s="158" t="s">
        <v>21</v>
      </c>
      <c r="G108" s="157" t="s">
        <v>685</v>
      </c>
      <c r="H108" s="157" t="s">
        <v>686</v>
      </c>
      <c r="I108" s="128" t="s">
        <v>20</v>
      </c>
      <c r="J108" s="118" t="s">
        <v>687</v>
      </c>
      <c r="K108" s="118" t="s">
        <v>688</v>
      </c>
      <c r="L108" s="118" t="s">
        <v>689</v>
      </c>
      <c r="M108" s="157" t="s">
        <v>1202</v>
      </c>
      <c r="N108" s="158" t="str">
        <f>VLOOKUP(Table133[[#This Row],[Importance]],'Logic and Calculation'!$H$2:$J$12,3,FALSE)</f>
        <v>Medium</v>
      </c>
      <c r="O108" s="157">
        <v>5</v>
      </c>
      <c r="P108" s="158">
        <f>VLOOKUP(Table133[[#This Row],[Importance]],'Logic and Calculation'!$H$2:$J$12,2,FALSE)</f>
        <v>-7</v>
      </c>
      <c r="Q108" s="159"/>
      <c r="R108" s="124"/>
    </row>
    <row r="109" spans="1:18" ht="43.2" customHeight="1">
      <c r="A109" s="194" t="s">
        <v>1203</v>
      </c>
      <c r="B109" s="156" t="s">
        <v>603</v>
      </c>
      <c r="C109" s="129" t="s">
        <v>736</v>
      </c>
      <c r="D109" s="157" t="s">
        <v>692</v>
      </c>
      <c r="E109" s="166" t="s">
        <v>29</v>
      </c>
      <c r="F109" s="158" t="s">
        <v>21</v>
      </c>
      <c r="G109" s="157" t="s">
        <v>693</v>
      </c>
      <c r="H109" s="157" t="s">
        <v>694</v>
      </c>
      <c r="I109" s="118" t="s">
        <v>695</v>
      </c>
      <c r="J109" s="118" t="s">
        <v>696</v>
      </c>
      <c r="K109" s="118" t="s">
        <v>697</v>
      </c>
      <c r="L109" s="118" t="s">
        <v>698</v>
      </c>
      <c r="M109" s="157" t="s">
        <v>1204</v>
      </c>
      <c r="N109" s="158" t="str">
        <f>VLOOKUP(Table133[[#This Row],[Importance]],'Logic and Calculation'!$H$2:$J$12,3,FALSE)</f>
        <v>Medium</v>
      </c>
      <c r="O109" s="157">
        <v>5</v>
      </c>
      <c r="P109" s="158">
        <f>VLOOKUP(Table133[[#This Row],[Importance]],'Logic and Calculation'!$H$2:$J$12,2,FALSE)</f>
        <v>-7</v>
      </c>
      <c r="Q109" s="159"/>
      <c r="R109" s="124"/>
    </row>
    <row r="110" spans="1:18" s="162" customFormat="1" ht="43.2" customHeight="1">
      <c r="A110" s="194" t="s">
        <v>1203</v>
      </c>
      <c r="B110" s="156" t="s">
        <v>603</v>
      </c>
      <c r="C110" s="129" t="s">
        <v>743</v>
      </c>
      <c r="D110" s="157" t="s">
        <v>700</v>
      </c>
      <c r="E110" s="166" t="s">
        <v>20</v>
      </c>
      <c r="F110" s="158" t="s">
        <v>21</v>
      </c>
      <c r="G110" s="157" t="s">
        <v>701</v>
      </c>
      <c r="H110" s="157" t="s">
        <v>702</v>
      </c>
      <c r="I110" s="193" t="s">
        <v>20</v>
      </c>
      <c r="J110" s="118" t="s">
        <v>703</v>
      </c>
      <c r="K110" s="118" t="s">
        <v>704</v>
      </c>
      <c r="L110" s="118" t="s">
        <v>705</v>
      </c>
      <c r="M110" s="157" t="s">
        <v>1205</v>
      </c>
      <c r="N110" s="158" t="str">
        <f>VLOOKUP(Table133[[#This Row],[Importance]],'Logic and Calculation'!$H$2:$J$12,3,FALSE)</f>
        <v>Medium</v>
      </c>
      <c r="O110" s="157">
        <v>5</v>
      </c>
      <c r="P110" s="158">
        <f>VLOOKUP(Table133[[#This Row],[Importance]],'Logic and Calculation'!$H$2:$J$12,2,FALSE)</f>
        <v>-7</v>
      </c>
      <c r="Q110" s="159"/>
      <c r="R110" s="161"/>
    </row>
    <row r="111" spans="1:18" ht="43.2" customHeight="1">
      <c r="A111" s="194" t="s">
        <v>1203</v>
      </c>
      <c r="B111" s="156" t="s">
        <v>603</v>
      </c>
      <c r="C111" s="129" t="s">
        <v>750</v>
      </c>
      <c r="D111" s="157" t="s">
        <v>707</v>
      </c>
      <c r="E111" s="166" t="s">
        <v>29</v>
      </c>
      <c r="F111" s="158" t="s">
        <v>21</v>
      </c>
      <c r="G111" s="157" t="s">
        <v>708</v>
      </c>
      <c r="H111" s="157" t="s">
        <v>709</v>
      </c>
      <c r="I111" s="118" t="s">
        <v>1304</v>
      </c>
      <c r="J111" s="118" t="s">
        <v>710</v>
      </c>
      <c r="K111" s="118" t="s">
        <v>711</v>
      </c>
      <c r="L111" s="118" t="s">
        <v>712</v>
      </c>
      <c r="M111" s="157" t="s">
        <v>1206</v>
      </c>
      <c r="N111" s="158" t="str">
        <f>VLOOKUP(Table133[[#This Row],[Importance]],'Logic and Calculation'!$H$2:$J$12,3,FALSE)</f>
        <v>Medium</v>
      </c>
      <c r="O111" s="157">
        <v>5</v>
      </c>
      <c r="P111" s="158">
        <f>VLOOKUP(Table133[[#This Row],[Importance]],'Logic and Calculation'!$H$2:$J$12,2,FALSE)</f>
        <v>-7</v>
      </c>
      <c r="Q111" s="159"/>
      <c r="R111" s="124"/>
    </row>
    <row r="112" spans="1:18" ht="43.2" customHeight="1">
      <c r="A112" s="195" t="s">
        <v>713</v>
      </c>
      <c r="B112" s="167" t="s">
        <v>714</v>
      </c>
      <c r="C112" s="129" t="s">
        <v>757</v>
      </c>
      <c r="D112" s="168" t="s">
        <v>716</v>
      </c>
      <c r="E112" s="164" t="s">
        <v>20</v>
      </c>
      <c r="F112" s="170" t="s">
        <v>21</v>
      </c>
      <c r="G112" s="168" t="s">
        <v>717</v>
      </c>
      <c r="H112" s="168" t="s">
        <v>718</v>
      </c>
      <c r="I112" s="125" t="s">
        <v>1207</v>
      </c>
      <c r="J112" s="117" t="s">
        <v>719</v>
      </c>
      <c r="K112" s="117" t="s">
        <v>720</v>
      </c>
      <c r="L112" s="117" t="s">
        <v>721</v>
      </c>
      <c r="M112" s="168" t="s">
        <v>1208</v>
      </c>
      <c r="N112" s="170" t="str">
        <f>VLOOKUP(Table133[[#This Row],[Importance]],'Logic and Calculation'!$H$2:$J$12,3,FALSE)</f>
        <v>Medium</v>
      </c>
      <c r="O112" s="168">
        <v>5</v>
      </c>
      <c r="P112" s="170">
        <f>VLOOKUP(Table133[[#This Row],[Importance]],'Logic and Calculation'!$H$2:$J$12,2,FALSE)</f>
        <v>-7</v>
      </c>
      <c r="Q112" s="171"/>
      <c r="R112" s="124"/>
    </row>
    <row r="113" spans="1:18" ht="43.2" customHeight="1">
      <c r="A113" s="195" t="s">
        <v>713</v>
      </c>
      <c r="B113" s="167" t="s">
        <v>714</v>
      </c>
      <c r="C113" s="129" t="s">
        <v>764</v>
      </c>
      <c r="D113" s="168" t="s">
        <v>723</v>
      </c>
      <c r="E113" s="164" t="s">
        <v>20</v>
      </c>
      <c r="F113" s="170" t="s">
        <v>21</v>
      </c>
      <c r="G113" s="168" t="s">
        <v>724</v>
      </c>
      <c r="H113" s="168" t="s">
        <v>725</v>
      </c>
      <c r="I113" s="125" t="s">
        <v>1209</v>
      </c>
      <c r="J113" s="117" t="s">
        <v>726</v>
      </c>
      <c r="K113" s="117" t="s">
        <v>727</v>
      </c>
      <c r="L113" s="117" t="s">
        <v>728</v>
      </c>
      <c r="M113" s="168" t="s">
        <v>1210</v>
      </c>
      <c r="N113" s="170" t="str">
        <f>VLOOKUP(Table133[[#This Row],[Importance]],'Logic and Calculation'!$H$2:$J$12,3,FALSE)</f>
        <v>Medium</v>
      </c>
      <c r="O113" s="168">
        <v>5</v>
      </c>
      <c r="P113" s="170">
        <f>VLOOKUP(Table133[[#This Row],[Importance]],'Logic and Calculation'!$H$2:$J$12,2,FALSE)</f>
        <v>-7</v>
      </c>
      <c r="Q113" s="171"/>
      <c r="R113" s="124"/>
    </row>
    <row r="114" spans="1:18" ht="85.2" customHeight="1">
      <c r="A114" s="195" t="s">
        <v>713</v>
      </c>
      <c r="B114" s="167" t="s">
        <v>714</v>
      </c>
      <c r="C114" s="129" t="s">
        <v>771</v>
      </c>
      <c r="D114" s="168" t="s">
        <v>730</v>
      </c>
      <c r="E114" s="169" t="s">
        <v>29</v>
      </c>
      <c r="F114" s="170" t="s">
        <v>21</v>
      </c>
      <c r="G114" s="168" t="s">
        <v>731</v>
      </c>
      <c r="H114" s="168" t="s">
        <v>732</v>
      </c>
      <c r="I114" s="117" t="s">
        <v>1305</v>
      </c>
      <c r="J114" s="117" t="s">
        <v>733</v>
      </c>
      <c r="K114" s="117" t="s">
        <v>734</v>
      </c>
      <c r="L114" s="117" t="s">
        <v>735</v>
      </c>
      <c r="M114" s="168" t="s">
        <v>1211</v>
      </c>
      <c r="N114" s="170" t="str">
        <f>VLOOKUP(Table133[[#This Row],[Importance]],'Logic and Calculation'!$H$2:$J$12,3,FALSE)</f>
        <v>Medium</v>
      </c>
      <c r="O114" s="168">
        <v>5</v>
      </c>
      <c r="P114" s="170">
        <f>VLOOKUP(Table133[[#This Row],[Importance]],'Logic and Calculation'!$H$2:$J$12,2,FALSE)</f>
        <v>-7</v>
      </c>
      <c r="Q114" s="171"/>
      <c r="R114" s="124"/>
    </row>
    <row r="115" spans="1:18" ht="85.2" customHeight="1">
      <c r="A115" s="195" t="s">
        <v>713</v>
      </c>
      <c r="B115" s="167" t="s">
        <v>714</v>
      </c>
      <c r="C115" s="129" t="s">
        <v>778</v>
      </c>
      <c r="D115" s="168" t="s">
        <v>1212</v>
      </c>
      <c r="E115" s="169" t="s">
        <v>29</v>
      </c>
      <c r="F115" s="170" t="s">
        <v>21</v>
      </c>
      <c r="G115" s="168" t="s">
        <v>737</v>
      </c>
      <c r="H115" s="168" t="s">
        <v>738</v>
      </c>
      <c r="I115" s="117" t="s">
        <v>739</v>
      </c>
      <c r="J115" s="117" t="s">
        <v>740</v>
      </c>
      <c r="K115" s="117" t="s">
        <v>741</v>
      </c>
      <c r="L115" s="117" t="s">
        <v>742</v>
      </c>
      <c r="M115" s="168" t="s">
        <v>1213</v>
      </c>
      <c r="N115" s="170" t="str">
        <f>VLOOKUP(Table133[[#This Row],[Importance]],'Logic and Calculation'!$H$2:$J$12,3,FALSE)</f>
        <v>Medium</v>
      </c>
      <c r="O115" s="168">
        <v>5</v>
      </c>
      <c r="P115" s="170">
        <f>VLOOKUP(Table133[[#This Row],[Importance]],'Logic and Calculation'!$H$2:$J$12,2,FALSE)</f>
        <v>-7</v>
      </c>
      <c r="Q115" s="171"/>
      <c r="R115" s="124"/>
    </row>
    <row r="116" spans="1:18" ht="72" customHeight="1">
      <c r="A116" s="195" t="s">
        <v>713</v>
      </c>
      <c r="B116" s="167" t="s">
        <v>714</v>
      </c>
      <c r="C116" s="129" t="s">
        <v>779</v>
      </c>
      <c r="D116" s="168" t="s">
        <v>744</v>
      </c>
      <c r="E116" s="127" t="s">
        <v>20</v>
      </c>
      <c r="F116" s="170" t="s">
        <v>21</v>
      </c>
      <c r="G116" s="168" t="s">
        <v>745</v>
      </c>
      <c r="H116" s="168" t="s">
        <v>746</v>
      </c>
      <c r="I116" s="127" t="s">
        <v>20</v>
      </c>
      <c r="J116" s="117" t="s">
        <v>747</v>
      </c>
      <c r="K116" s="117" t="s">
        <v>748</v>
      </c>
      <c r="L116" s="117" t="s">
        <v>749</v>
      </c>
      <c r="M116" s="168" t="s">
        <v>1214</v>
      </c>
      <c r="N116" s="170" t="str">
        <f>VLOOKUP(Table133[[#This Row],[Importance]],'Logic and Calculation'!$H$2:$J$12,3,FALSE)</f>
        <v>Medium</v>
      </c>
      <c r="O116" s="168">
        <v>5</v>
      </c>
      <c r="P116" s="170">
        <f>VLOOKUP(Table133[[#This Row],[Importance]],'Logic and Calculation'!$H$2:$J$12,2,FALSE)</f>
        <v>-7</v>
      </c>
      <c r="Q116" s="171"/>
      <c r="R116" s="124"/>
    </row>
    <row r="117" spans="1:18" ht="84" customHeight="1">
      <c r="A117" s="196" t="s">
        <v>1215</v>
      </c>
      <c r="B117" s="172" t="s">
        <v>714</v>
      </c>
      <c r="C117" s="129" t="s">
        <v>786</v>
      </c>
      <c r="D117" s="173" t="s">
        <v>751</v>
      </c>
      <c r="E117" s="164" t="s">
        <v>20</v>
      </c>
      <c r="F117" s="174" t="s">
        <v>21</v>
      </c>
      <c r="G117" s="173" t="s">
        <v>752</v>
      </c>
      <c r="H117" s="173" t="s">
        <v>753</v>
      </c>
      <c r="I117" s="127" t="s">
        <v>1216</v>
      </c>
      <c r="J117" s="175" t="s">
        <v>754</v>
      </c>
      <c r="K117" s="175" t="s">
        <v>755</v>
      </c>
      <c r="L117" s="175" t="s">
        <v>756</v>
      </c>
      <c r="M117" s="173" t="s">
        <v>1217</v>
      </c>
      <c r="N117" s="174" t="str">
        <f>VLOOKUP(Table133[[#This Row],[Importance]],'Logic and Calculation'!$H$2:$J$12,3,FALSE)</f>
        <v>Medium</v>
      </c>
      <c r="O117" s="173">
        <v>5</v>
      </c>
      <c r="P117" s="174">
        <f>VLOOKUP(Table133[[#This Row],[Importance]],'Logic and Calculation'!$H$2:$J$12,2,FALSE)</f>
        <v>-7</v>
      </c>
      <c r="Q117" s="176"/>
      <c r="R117" s="124"/>
    </row>
    <row r="118" spans="1:18" ht="43.2" customHeight="1">
      <c r="A118" s="196" t="s">
        <v>1215</v>
      </c>
      <c r="B118" s="172" t="s">
        <v>714</v>
      </c>
      <c r="C118" s="129" t="s">
        <v>793</v>
      </c>
      <c r="D118" s="173" t="s">
        <v>758</v>
      </c>
      <c r="E118" s="164" t="s">
        <v>20</v>
      </c>
      <c r="F118" s="174" t="s">
        <v>21</v>
      </c>
      <c r="G118" s="173" t="s">
        <v>759</v>
      </c>
      <c r="H118" s="173" t="s">
        <v>760</v>
      </c>
      <c r="I118" s="125" t="s">
        <v>1218</v>
      </c>
      <c r="J118" s="175" t="s">
        <v>761</v>
      </c>
      <c r="K118" s="175" t="s">
        <v>762</v>
      </c>
      <c r="L118" s="175" t="s">
        <v>763</v>
      </c>
      <c r="M118" s="173" t="s">
        <v>1219</v>
      </c>
      <c r="N118" s="174" t="str">
        <f>VLOOKUP(Table133[[#This Row],[Importance]],'Logic and Calculation'!$H$2:$J$12,3,FALSE)</f>
        <v>Medium</v>
      </c>
      <c r="O118" s="173">
        <v>5</v>
      </c>
      <c r="P118" s="174">
        <f>VLOOKUP(Table133[[#This Row],[Importance]],'Logic and Calculation'!$H$2:$J$12,2,FALSE)</f>
        <v>-7</v>
      </c>
      <c r="Q118" s="176"/>
      <c r="R118" s="124"/>
    </row>
    <row r="119" spans="1:18" ht="57.6" customHeight="1">
      <c r="A119" s="196" t="s">
        <v>1215</v>
      </c>
      <c r="B119" s="172" t="s">
        <v>714</v>
      </c>
      <c r="C119" s="129" t="s">
        <v>801</v>
      </c>
      <c r="D119" s="173" t="s">
        <v>765</v>
      </c>
      <c r="E119" s="164" t="s">
        <v>20</v>
      </c>
      <c r="F119" s="174" t="s">
        <v>21</v>
      </c>
      <c r="G119" s="173" t="s">
        <v>766</v>
      </c>
      <c r="H119" s="173" t="s">
        <v>767</v>
      </c>
      <c r="I119" s="125" t="s">
        <v>1220</v>
      </c>
      <c r="J119" s="175" t="s">
        <v>768</v>
      </c>
      <c r="K119" s="175" t="s">
        <v>769</v>
      </c>
      <c r="L119" s="175" t="s">
        <v>770</v>
      </c>
      <c r="M119" s="173" t="s">
        <v>1221</v>
      </c>
      <c r="N119" s="174" t="str">
        <f>VLOOKUP(Table133[[#This Row],[Importance]],'Logic and Calculation'!$H$2:$J$12,3,FALSE)</f>
        <v>Medium</v>
      </c>
      <c r="O119" s="173">
        <v>5</v>
      </c>
      <c r="P119" s="174">
        <f>VLOOKUP(Table133[[#This Row],[Importance]],'Logic and Calculation'!$H$2:$J$12,2,FALSE)</f>
        <v>-7</v>
      </c>
      <c r="Q119" s="176"/>
      <c r="R119" s="124"/>
    </row>
    <row r="120" spans="1:18" ht="84" customHeight="1">
      <c r="A120" s="196" t="s">
        <v>1215</v>
      </c>
      <c r="B120" s="172" t="s">
        <v>714</v>
      </c>
      <c r="C120" s="129" t="s">
        <v>802</v>
      </c>
      <c r="D120" s="173" t="s">
        <v>772</v>
      </c>
      <c r="E120" s="177" t="s">
        <v>29</v>
      </c>
      <c r="F120" s="174" t="s">
        <v>21</v>
      </c>
      <c r="G120" s="173" t="s">
        <v>773</v>
      </c>
      <c r="H120" s="173" t="s">
        <v>774</v>
      </c>
      <c r="I120" s="173" t="s">
        <v>1305</v>
      </c>
      <c r="J120" s="197" t="s">
        <v>775</v>
      </c>
      <c r="K120" s="197" t="s">
        <v>776</v>
      </c>
      <c r="L120" s="197" t="s">
        <v>777</v>
      </c>
      <c r="M120" s="173" t="s">
        <v>1222</v>
      </c>
      <c r="N120" s="174" t="str">
        <f>VLOOKUP(Table133[[#This Row],[Importance]],'Logic and Calculation'!$H$2:$J$12,3,FALSE)</f>
        <v>Medium</v>
      </c>
      <c r="O120" s="173">
        <v>5</v>
      </c>
      <c r="P120" s="174">
        <f>VLOOKUP(Table133[[#This Row],[Importance]],'Logic and Calculation'!$H$2:$J$12,2,FALSE)</f>
        <v>-7</v>
      </c>
      <c r="Q120" s="176"/>
      <c r="R120" s="124"/>
    </row>
    <row r="121" spans="1:18" ht="84" customHeight="1">
      <c r="A121" s="196" t="s">
        <v>1215</v>
      </c>
      <c r="B121" s="172" t="s">
        <v>714</v>
      </c>
      <c r="C121" s="129" t="s">
        <v>810</v>
      </c>
      <c r="D121" s="173" t="s">
        <v>780</v>
      </c>
      <c r="E121" s="164" t="s">
        <v>20</v>
      </c>
      <c r="F121" s="174" t="s">
        <v>21</v>
      </c>
      <c r="G121" s="173" t="s">
        <v>781</v>
      </c>
      <c r="H121" s="173" t="s">
        <v>782</v>
      </c>
      <c r="I121" s="127" t="s">
        <v>1223</v>
      </c>
      <c r="J121" s="197" t="s">
        <v>783</v>
      </c>
      <c r="K121" s="197" t="s">
        <v>784</v>
      </c>
      <c r="L121" s="197" t="s">
        <v>785</v>
      </c>
      <c r="M121" s="173" t="s">
        <v>1224</v>
      </c>
      <c r="N121" s="174" t="str">
        <f>VLOOKUP(Table133[[#This Row],[Importance]],'Logic and Calculation'!$H$2:$J$12,3,FALSE)</f>
        <v>Medium</v>
      </c>
      <c r="O121" s="173">
        <v>5</v>
      </c>
      <c r="P121" s="174">
        <f>VLOOKUP(Table133[[#This Row],[Importance]],'Logic and Calculation'!$H$2:$J$12,2,FALSE)</f>
        <v>-7</v>
      </c>
      <c r="Q121" s="176"/>
      <c r="R121" s="124"/>
    </row>
    <row r="122" spans="1:18" ht="43.2" customHeight="1">
      <c r="A122" s="196" t="s">
        <v>1215</v>
      </c>
      <c r="B122" s="172" t="s">
        <v>714</v>
      </c>
      <c r="C122" s="129" t="s">
        <v>816</v>
      </c>
      <c r="D122" s="173" t="s">
        <v>787</v>
      </c>
      <c r="E122" s="164" t="s">
        <v>20</v>
      </c>
      <c r="F122" s="174" t="s">
        <v>21</v>
      </c>
      <c r="G122" s="173" t="s">
        <v>788</v>
      </c>
      <c r="H122" s="173" t="s">
        <v>789</v>
      </c>
      <c r="I122" s="125" t="s">
        <v>1225</v>
      </c>
      <c r="J122" s="197" t="s">
        <v>790</v>
      </c>
      <c r="K122" s="197" t="s">
        <v>791</v>
      </c>
      <c r="L122" s="197" t="s">
        <v>792</v>
      </c>
      <c r="M122" s="173" t="s">
        <v>1226</v>
      </c>
      <c r="N122" s="174" t="str">
        <f>VLOOKUP(Table133[[#This Row],[Importance]],'Logic and Calculation'!$H$2:$J$12,3,FALSE)</f>
        <v>Medium</v>
      </c>
      <c r="O122" s="173">
        <v>5</v>
      </c>
      <c r="P122" s="174">
        <f>VLOOKUP(Table133[[#This Row],[Importance]],'Logic and Calculation'!$H$2:$J$12,2,FALSE)</f>
        <v>-7</v>
      </c>
      <c r="Q122" s="176"/>
      <c r="R122" s="124"/>
    </row>
    <row r="123" spans="1:18" ht="72" customHeight="1">
      <c r="A123" s="198" t="s">
        <v>1227</v>
      </c>
      <c r="B123" s="198" t="s">
        <v>1228</v>
      </c>
      <c r="C123" s="129" t="s">
        <v>817</v>
      </c>
      <c r="D123" s="179" t="s">
        <v>794</v>
      </c>
      <c r="E123" s="180" t="s">
        <v>29</v>
      </c>
      <c r="F123" s="181" t="s">
        <v>21</v>
      </c>
      <c r="G123" s="179" t="s">
        <v>795</v>
      </c>
      <c r="H123" s="179" t="s">
        <v>796</v>
      </c>
      <c r="I123" s="179" t="s">
        <v>797</v>
      </c>
      <c r="J123" s="199" t="s">
        <v>798</v>
      </c>
      <c r="K123" s="199" t="s">
        <v>799</v>
      </c>
      <c r="L123" s="199" t="s">
        <v>800</v>
      </c>
      <c r="M123" s="179" t="s">
        <v>1229</v>
      </c>
      <c r="N123" s="181" t="str">
        <f>VLOOKUP(Table133[[#This Row],[Importance]],'Logic and Calculation'!$H$2:$J$12,3,FALSE)</f>
        <v>Medium</v>
      </c>
      <c r="O123" s="179">
        <v>5</v>
      </c>
      <c r="P123" s="181">
        <f>VLOOKUP(Table133[[#This Row],[Importance]],'Logic and Calculation'!$H$2:$J$12,2,FALSE)</f>
        <v>-7</v>
      </c>
      <c r="Q123" s="182"/>
      <c r="R123" s="124"/>
    </row>
    <row r="124" spans="1:18" ht="84" customHeight="1">
      <c r="A124" s="198" t="s">
        <v>1227</v>
      </c>
      <c r="B124" s="198" t="s">
        <v>1228</v>
      </c>
      <c r="C124" s="129" t="s">
        <v>820</v>
      </c>
      <c r="D124" s="179" t="s">
        <v>803</v>
      </c>
      <c r="E124" s="164" t="s">
        <v>20</v>
      </c>
      <c r="F124" s="181" t="s">
        <v>21</v>
      </c>
      <c r="G124" s="179" t="s">
        <v>804</v>
      </c>
      <c r="H124" s="179" t="s">
        <v>805</v>
      </c>
      <c r="I124" s="127" t="s">
        <v>1230</v>
      </c>
      <c r="J124" s="199" t="s">
        <v>806</v>
      </c>
      <c r="K124" s="199" t="s">
        <v>807</v>
      </c>
      <c r="L124" s="199" t="s">
        <v>808</v>
      </c>
      <c r="M124" s="179" t="s">
        <v>1231</v>
      </c>
      <c r="N124" s="181" t="str">
        <f>VLOOKUP(Table133[[#This Row],[Importance]],'Logic and Calculation'!$H$2:$J$12,3,FALSE)</f>
        <v>Medium</v>
      </c>
      <c r="O124" s="179">
        <v>5</v>
      </c>
      <c r="P124" s="181">
        <f>VLOOKUP(Table133[[#This Row],[Importance]],'Logic and Calculation'!$H$2:$J$12,2,FALSE)</f>
        <v>-7</v>
      </c>
      <c r="Q124" s="182"/>
      <c r="R124" s="124"/>
    </row>
    <row r="125" spans="1:18" ht="72" customHeight="1">
      <c r="A125" s="198" t="s">
        <v>1227</v>
      </c>
      <c r="B125" s="198" t="s">
        <v>809</v>
      </c>
      <c r="C125" s="129" t="s">
        <v>824</v>
      </c>
      <c r="D125" s="179" t="s">
        <v>1232</v>
      </c>
      <c r="E125" s="180" t="s">
        <v>29</v>
      </c>
      <c r="F125" s="181" t="s">
        <v>21</v>
      </c>
      <c r="G125" s="179" t="s">
        <v>811</v>
      </c>
      <c r="H125" s="179" t="s">
        <v>812</v>
      </c>
      <c r="I125" s="179" t="s">
        <v>1306</v>
      </c>
      <c r="J125" s="199" t="s">
        <v>813</v>
      </c>
      <c r="K125" s="199" t="s">
        <v>814</v>
      </c>
      <c r="L125" s="199" t="s">
        <v>815</v>
      </c>
      <c r="M125" s="179" t="s">
        <v>1233</v>
      </c>
      <c r="N125" s="181" t="str">
        <f>VLOOKUP(Table133[[#This Row],[Importance]],'Logic and Calculation'!$H$2:$J$12,3,FALSE)</f>
        <v>Medium</v>
      </c>
      <c r="O125" s="179">
        <v>5</v>
      </c>
      <c r="P125" s="181">
        <f>VLOOKUP(Table133[[#This Row],[Importance]],'Logic and Calculation'!$H$2:$J$12,2,FALSE)</f>
        <v>-7</v>
      </c>
      <c r="Q125" s="182"/>
      <c r="R125" s="124"/>
    </row>
    <row r="126" spans="1:18" ht="72" customHeight="1">
      <c r="A126" s="198" t="s">
        <v>1227</v>
      </c>
      <c r="B126" s="198" t="s">
        <v>809</v>
      </c>
      <c r="C126" s="129" t="s">
        <v>828</v>
      </c>
      <c r="D126" s="179" t="s">
        <v>1234</v>
      </c>
      <c r="E126" s="164" t="s">
        <v>20</v>
      </c>
      <c r="F126" s="181" t="s">
        <v>21</v>
      </c>
      <c r="G126" s="179" t="s">
        <v>818</v>
      </c>
      <c r="H126" s="179" t="s">
        <v>819</v>
      </c>
      <c r="I126" s="127" t="s">
        <v>1237</v>
      </c>
      <c r="J126" s="199" t="s">
        <v>578</v>
      </c>
      <c r="K126" s="199" t="s">
        <v>579</v>
      </c>
      <c r="L126" s="199" t="s">
        <v>580</v>
      </c>
      <c r="M126" s="179" t="s">
        <v>1235</v>
      </c>
      <c r="N126" s="181" t="str">
        <f>VLOOKUP(Table133[[#This Row],[Importance]],'Logic and Calculation'!$H$2:$J$12,3,FALSE)</f>
        <v>Medium</v>
      </c>
      <c r="O126" s="179">
        <v>5</v>
      </c>
      <c r="P126" s="181">
        <f>VLOOKUP(Table133[[#This Row],[Importance]],'Logic and Calculation'!$H$2:$J$12,2,FALSE)</f>
        <v>-7</v>
      </c>
      <c r="Q126" s="182"/>
      <c r="R126" s="124"/>
    </row>
    <row r="127" spans="1:18" ht="43.2" customHeight="1">
      <c r="A127" s="198" t="s">
        <v>1227</v>
      </c>
      <c r="B127" s="198" t="s">
        <v>809</v>
      </c>
      <c r="C127" s="129" t="s">
        <v>1005</v>
      </c>
      <c r="D127" s="179" t="s">
        <v>821</v>
      </c>
      <c r="E127" s="164" t="s">
        <v>20</v>
      </c>
      <c r="F127" s="181" t="s">
        <v>21</v>
      </c>
      <c r="G127" s="179" t="s">
        <v>822</v>
      </c>
      <c r="H127" s="179" t="s">
        <v>823</v>
      </c>
      <c r="I127" s="127" t="s">
        <v>1237</v>
      </c>
      <c r="J127" s="199" t="s">
        <v>585</v>
      </c>
      <c r="K127" s="199" t="s">
        <v>586</v>
      </c>
      <c r="L127" s="199" t="s">
        <v>587</v>
      </c>
      <c r="M127" s="179" t="s">
        <v>1236</v>
      </c>
      <c r="N127" s="181" t="str">
        <f>VLOOKUP(Table133[[#This Row],[Importance]],'Logic and Calculation'!$H$2:$J$12,3,FALSE)</f>
        <v>Medium</v>
      </c>
      <c r="O127" s="179">
        <v>5</v>
      </c>
      <c r="P127" s="181">
        <f>VLOOKUP(Table133[[#This Row],[Importance]],'Logic and Calculation'!$H$2:$J$12,2,FALSE)</f>
        <v>-7</v>
      </c>
      <c r="Q127" s="182"/>
      <c r="R127" s="124"/>
    </row>
    <row r="128" spans="1:18" ht="84" customHeight="1">
      <c r="A128" s="198" t="s">
        <v>1227</v>
      </c>
      <c r="B128" s="198" t="s">
        <v>809</v>
      </c>
      <c r="C128" s="129" t="s">
        <v>1006</v>
      </c>
      <c r="D128" s="179" t="s">
        <v>825</v>
      </c>
      <c r="E128" s="164" t="s">
        <v>20</v>
      </c>
      <c r="F128" s="181" t="s">
        <v>21</v>
      </c>
      <c r="G128" s="179" t="s">
        <v>826</v>
      </c>
      <c r="H128" s="179" t="s">
        <v>827</v>
      </c>
      <c r="I128" s="127" t="s">
        <v>1237</v>
      </c>
      <c r="J128" s="199" t="s">
        <v>592</v>
      </c>
      <c r="K128" s="199" t="s">
        <v>593</v>
      </c>
      <c r="L128" s="199" t="s">
        <v>594</v>
      </c>
      <c r="M128" s="179" t="s">
        <v>1238</v>
      </c>
      <c r="N128" s="181" t="str">
        <f>VLOOKUP(Table133[[#This Row],[Importance]],'Logic and Calculation'!$H$2:$J$12,3,FALSE)</f>
        <v>Medium</v>
      </c>
      <c r="O128" s="179">
        <v>5</v>
      </c>
      <c r="P128" s="181">
        <f>VLOOKUP(Table133[[#This Row],[Importance]],'Logic and Calculation'!$H$2:$J$12,2,FALSE)</f>
        <v>-7</v>
      </c>
      <c r="Q128" s="182"/>
      <c r="R128" s="124"/>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2026-06-10T17:28:21Z</dcterms:modified>
</cp:coreProperties>
</file>