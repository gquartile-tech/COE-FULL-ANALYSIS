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8920" yWindow="-15" windowWidth="29040" windowHeight="15720" tabRatio="600" firstSheet="0" activeTab="1" autoFilterDateGrouping="1"/>
  </bookViews>
  <sheets>
    <sheet xmlns:r="http://schemas.openxmlformats.org/officeDocument/2006/relationships" name="Account Health_Analysis" sheetId="1" state="visible" r:id="rId1"/>
    <sheet xmlns:r="http://schemas.openxmlformats.org/officeDocument/2006/relationships" name="Account Health_Reference" sheetId="2" state="visible" r:id="rId2"/>
    <sheet xmlns:r="http://schemas.openxmlformats.org/officeDocument/2006/relationships" name="Logic and Calculation" sheetId="3" state="visible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4">
    <font>
      <name val="Calibri"/>
      <family val="2"/>
      <color theme="1"/>
      <sz val="11"/>
      <scheme val="minor"/>
    </font>
    <font>
      <name val="Calibri"/>
      <family val="2"/>
      <b val="1"/>
      <sz val="16"/>
    </font>
    <font>
      <name val="Calibri"/>
      <family val="2"/>
      <b val="1"/>
      <sz val="10"/>
    </font>
    <font>
      <name val="Calibri"/>
      <family val="2"/>
      <sz val="10"/>
    </font>
    <font>
      <name val="Calibri"/>
      <family val="2"/>
      <b val="1"/>
      <sz val="12"/>
    </font>
    <font>
      <name val="Calibri"/>
      <family val="2"/>
      <b val="1"/>
      <color rgb="FFFFFFFF"/>
      <sz val="10"/>
    </font>
    <font>
      <name val="Calibri"/>
      <family val="2"/>
      <sz val="9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11"/>
    </font>
    <font>
      <name val="Calibri"/>
      <family val="2"/>
      <sz val="12"/>
    </font>
    <font>
      <name val="Calibri"/>
      <family val="2"/>
      <b val="1"/>
      <color rgb="FFFFFFFF"/>
      <sz val="9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rgb="FF000000"/>
      <sz val="11"/>
      <scheme val="minor"/>
    </font>
  </fonts>
  <fills count="8">
    <fill>
      <patternFill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5">
    <xf numFmtId="0" fontId="0" fillId="0" borderId="0" pivotButton="0" quotePrefix="0" xfId="0"/>
    <xf numFmtId="0" fontId="5" fillId="2" borderId="1" applyAlignment="1" pivotButton="0" quotePrefix="0" xfId="0">
      <alignment horizontal="center" vertical="center" wrapText="1"/>
    </xf>
    <xf numFmtId="0" fontId="7" fillId="3" borderId="0" pivotButton="0" quotePrefix="0" xfId="0"/>
    <xf numFmtId="0" fontId="6" fillId="0" borderId="2" applyAlignment="1" pivotButton="0" quotePrefix="0" xfId="0">
      <alignment horizontal="left" vertical="top" wrapText="1"/>
    </xf>
    <xf numFmtId="0" fontId="6" fillId="0" borderId="2" applyAlignment="1" pivotButton="0" quotePrefix="0" xfId="0">
      <alignment horizontal="center" vertical="center" wrapText="1"/>
    </xf>
    <xf numFmtId="0" fontId="5" fillId="2" borderId="3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left" vertical="top" wrapText="1"/>
    </xf>
    <xf numFmtId="0" fontId="5" fillId="2" borderId="5" applyAlignment="1" pivotButton="0" quotePrefix="0" xfId="0">
      <alignment horizontal="center" vertical="center" wrapText="1"/>
    </xf>
    <xf numFmtId="0" fontId="8" fillId="4" borderId="0" pivotButton="0" quotePrefix="0" xfId="0"/>
    <xf numFmtId="0" fontId="5" fillId="2" borderId="6" applyAlignment="1" pivotButton="0" quotePrefix="0" xfId="0">
      <alignment horizontal="center" vertical="center" wrapText="1"/>
    </xf>
    <xf numFmtId="0" fontId="6" fillId="0" borderId="7" applyAlignment="1" pivotButton="0" quotePrefix="0" xfId="0">
      <alignment horizontal="left" vertical="top" wrapText="1"/>
    </xf>
    <xf numFmtId="0" fontId="6" fillId="0" borderId="8" applyAlignment="1" pivotButton="0" quotePrefix="0" xfId="0">
      <alignment horizontal="left" vertical="top" wrapText="1"/>
    </xf>
    <xf numFmtId="0" fontId="0" fillId="0" borderId="0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0" fillId="5" borderId="0" pivotButton="0" quotePrefix="0" xfId="0"/>
    <xf numFmtId="0" fontId="0" fillId="5" borderId="0" applyAlignment="1" pivotButton="0" quotePrefix="0" xfId="0">
      <alignment horizontal="center" vertical="center"/>
    </xf>
    <xf numFmtId="0" fontId="6" fillId="6" borderId="9" applyAlignment="1" pivotButton="0" quotePrefix="0" xfId="0">
      <alignment horizontal="center" vertical="center" wrapText="1"/>
    </xf>
    <xf numFmtId="0" fontId="0" fillId="5" borderId="0" applyAlignment="1" pivotButton="0" quotePrefix="0" xfId="0">
      <alignment horizontal="center" vertical="center" wrapText="1"/>
    </xf>
    <xf numFmtId="0" fontId="7" fillId="4" borderId="0" pivotButton="0" quotePrefix="0" xfId="0"/>
    <xf numFmtId="0" fontId="0" fillId="5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3" fillId="5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vertical="top" wrapText="1"/>
    </xf>
    <xf numFmtId="0" fontId="6" fillId="0" borderId="12" applyAlignment="1" pivotButton="0" quotePrefix="0" xfId="0">
      <alignment horizontal="left" vertical="top" wrapText="1"/>
    </xf>
    <xf numFmtId="0" fontId="6" fillId="0" borderId="2" applyAlignment="1" pivotButton="0" quotePrefix="0" xfId="0">
      <alignment vertical="top" wrapText="1"/>
    </xf>
    <xf numFmtId="0" fontId="11" fillId="0" borderId="0" applyAlignment="1" pivotButton="0" quotePrefix="0" xfId="0">
      <alignment vertical="top" wrapText="1"/>
    </xf>
    <xf numFmtId="0" fontId="5" fillId="2" borderId="13" applyAlignment="1" pivotButton="0" quotePrefix="0" xfId="0">
      <alignment horizontal="center" vertical="center" wrapText="1"/>
    </xf>
    <xf numFmtId="0" fontId="5" fillId="2" borderId="14" applyAlignment="1" pivotButton="0" quotePrefix="0" xfId="0">
      <alignment horizontal="center" vertical="center" wrapText="1"/>
    </xf>
    <xf numFmtId="0" fontId="5" fillId="2" borderId="15" applyAlignment="1" pivotButton="0" quotePrefix="0" xfId="0">
      <alignment horizontal="center" vertical="center" wrapText="1"/>
    </xf>
    <xf numFmtId="0" fontId="11" fillId="0" borderId="2" applyAlignment="1" pivotButton="0" quotePrefix="0" xfId="0">
      <alignment vertical="top" wrapText="1"/>
    </xf>
    <xf numFmtId="0" fontId="11" fillId="0" borderId="2" applyAlignment="1" pivotButton="0" quotePrefix="0" xfId="0">
      <alignment horizontal="left" vertical="top" wrapText="1"/>
    </xf>
    <xf numFmtId="0" fontId="0" fillId="0" borderId="16" pivotButton="0" quotePrefix="0" xfId="0"/>
    <xf numFmtId="0" fontId="0" fillId="5" borderId="16" pivotButton="0" quotePrefix="0" xfId="0"/>
    <xf numFmtId="22" fontId="0" fillId="5" borderId="16" applyAlignment="1" pivotButton="0" quotePrefix="0" xfId="0">
      <alignment horizontal="left"/>
    </xf>
    <xf numFmtId="0" fontId="0" fillId="5" borderId="18" pivotButton="0" quotePrefix="0" xfId="0"/>
    <xf numFmtId="0" fontId="0" fillId="5" borderId="16" applyAlignment="1" pivotButton="0" quotePrefix="0" xfId="0">
      <alignment wrapText="1"/>
    </xf>
    <xf numFmtId="0" fontId="12" fillId="0" borderId="16" pivotButton="0" quotePrefix="0" xfId="0"/>
    <xf numFmtId="0" fontId="10" fillId="2" borderId="14" applyAlignment="1" pivotButton="0" quotePrefix="0" xfId="0">
      <alignment horizontal="center" vertical="center" wrapText="1"/>
    </xf>
    <xf numFmtId="0" fontId="13" fillId="0" borderId="0" pivotButton="0" quotePrefix="0" xfId="0"/>
    <xf numFmtId="0" fontId="5" fillId="2" borderId="20" applyAlignment="1" pivotButton="0" quotePrefix="0" xfId="0">
      <alignment horizontal="center" vertical="center" wrapText="1"/>
    </xf>
    <xf numFmtId="0" fontId="1" fillId="7" borderId="10" applyAlignment="1" pivotButton="0" quotePrefix="0" xfId="0">
      <alignment horizontal="center" vertical="center"/>
    </xf>
    <xf numFmtId="0" fontId="0" fillId="7" borderId="17" pivotButton="0" quotePrefix="0" xfId="0"/>
    <xf numFmtId="0" fontId="0" fillId="7" borderId="11" pivotButton="0" quotePrefix="0" xfId="0"/>
    <xf numFmtId="0" fontId="3" fillId="5" borderId="0" applyAlignment="1" pivotButton="0" quotePrefix="0" xfId="0">
      <alignment horizontal="left" vertical="top" wrapText="1"/>
    </xf>
    <xf numFmtId="0" fontId="0" fillId="0" borderId="0" pivotButton="0" quotePrefix="0" xfId="0"/>
    <xf numFmtId="0" fontId="2" fillId="5" borderId="0" pivotButton="0" quotePrefix="0" xfId="0"/>
    <xf numFmtId="0" fontId="4" fillId="0" borderId="0" applyAlignment="1" pivotButton="0" quotePrefix="0" xfId="0">
      <alignment horizontal="left" vertical="top" wrapText="1"/>
    </xf>
    <xf numFmtId="0" fontId="9" fillId="5" borderId="19" applyAlignment="1" pivotButton="0" quotePrefix="0" xfId="0">
      <alignment horizontal="center" vertical="top" wrapText="1"/>
    </xf>
    <xf numFmtId="0" fontId="0" fillId="0" borderId="17" pivotButton="0" quotePrefix="0" xfId="0"/>
    <xf numFmtId="0" fontId="1" fillId="5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0" applyAlignment="1" pivotButton="0" quotePrefix="0" xfId="0">
      <alignment horizont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9"/>
        <vertAlign val="baseline"/>
        <scheme val="minor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general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name val="Calibri"/>
        <family val="2"/>
        <strike val="0"/>
        <outline val="0"/>
        <shadow val="0"/>
        <condense val="0"/>
        <color auto="1"/>
        <extend val="0"/>
        <sz val="9"/>
        <vertAlign val="baseline"/>
      </font>
      <alignment horizontal="center" vertical="center"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0"/>
        <vertAlign val="baseline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tables/table1.xml><?xml version="1.0" encoding="utf-8"?>
<table xmlns="http://schemas.openxmlformats.org/spreadsheetml/2006/main" id="1" name="Table1" displayName="Table1" ref="A1:O27" headerRowCount="1" totalsRowShown="0" headerRowDxfId="26" dataDxfId="25" tableBorderDxfId="24">
  <autoFilter ref="A1:O27"/>
  <tableColumns count="15">
    <tableColumn id="1" name="Block" dataDxfId="23"/>
    <tableColumn id="2" name="Control ID" dataDxfId="22"/>
    <tableColumn id="3" name="Control Name" dataDxfId="21"/>
    <tableColumn id="4" name="STATUS" dataDxfId="20"/>
    <tableColumn id="5" name="What" dataDxfId="19"/>
    <tableColumn id="6" name="Why" dataDxfId="18"/>
    <tableColumn id="7" name="How" dataDxfId="17"/>
    <tableColumn id="14" name="What We Saw" dataDxfId="16"/>
    <tableColumn id="13" name="Why It Matters" dataDxfId="15"/>
    <tableColumn id="15" name="What You Should Do" dataDxfId="14"/>
    <tableColumn id="8" name="Data Source" dataDxfId="13"/>
    <tableColumn id="9" name="Impact" dataDxfId="12">
      <calculatedColumnFormula>VLOOKUP(Table1[[#This Row],[Importance]],'Logic and Calculation'!$H$3:$J$12,3,FALSE)</calculatedColumnFormula>
    </tableColumn>
    <tableColumn id="10" name="Importance" dataDxfId="11"/>
    <tableColumn id="11" name="Priority" dataDxfId="10"/>
    <tableColumn id="12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38"/>
  <sheetViews>
    <sheetView zoomScale="70" zoomScaleNormal="70" workbookViewId="0">
      <pane ySplit="8" topLeftCell="A9" activePane="bottomLeft" state="frozen"/>
      <selection pane="bottomLeft" activeCell="D19" sqref="D19"/>
    </sheetView>
  </sheetViews>
  <sheetFormatPr baseColWidth="8" defaultRowHeight="14.4"/>
  <cols>
    <col width="21.44140625" customWidth="1" style="47" min="1" max="1"/>
    <col width="27.5546875" customWidth="1" style="47" min="2" max="2"/>
    <col width="38.21875" customWidth="1" style="47" min="3" max="3"/>
    <col width="52" customWidth="1" style="22" min="4" max="4"/>
    <col width="50.21875" customWidth="1" style="22" min="5" max="6"/>
    <col width="34.44140625" customWidth="1" style="47" min="7" max="7"/>
    <col width="26.77734375" customWidth="1" style="16" min="8" max="8"/>
    <col width="21.5546875" bestFit="1" customWidth="1" style="16" min="9" max="9"/>
    <col width="26.21875" bestFit="1" customWidth="1" style="16" min="10" max="10"/>
    <col width="19.6640625" bestFit="1" customWidth="1" style="16" min="11" max="11"/>
    <col width="19.44140625" bestFit="1" customWidth="1" style="16" min="12" max="12"/>
    <col width="21.88671875" bestFit="1" customWidth="1" style="16" min="13" max="13"/>
    <col width="25" bestFit="1" customWidth="1" style="16" min="14" max="14"/>
    <col width="25.6640625" bestFit="1" customWidth="1" style="16" min="15" max="15"/>
    <col width="28.44140625" bestFit="1" customWidth="1" style="16" min="16" max="16"/>
    <col width="27.6640625" bestFit="1" customWidth="1" style="16" min="17" max="17"/>
    <col width="22.33203125" bestFit="1" customWidth="1" style="16" min="18" max="18"/>
    <col width="16.88671875" bestFit="1" customWidth="1" style="16" min="19" max="19"/>
    <col width="10.6640625" bestFit="1" customWidth="1" style="16" min="20" max="20"/>
    <col width="26.6640625" bestFit="1" customWidth="1" style="16" min="21" max="21"/>
    <col width="27.6640625" bestFit="1" customWidth="1" style="16" min="22" max="22"/>
    <col width="18.88671875" bestFit="1" customWidth="1" style="16" min="23" max="23"/>
    <col width="20" bestFit="1" customWidth="1" style="16" min="24" max="24"/>
    <col width="14.44140625" bestFit="1" customWidth="1" style="16" min="25" max="25"/>
    <col width="19.44140625" bestFit="1" customWidth="1" style="16" min="26" max="26"/>
    <col width="12.77734375" bestFit="1" customWidth="1" style="16" min="27" max="27"/>
    <col width="30.44140625" bestFit="1" customWidth="1" style="16" min="28" max="28"/>
    <col width="24.88671875" bestFit="1" customWidth="1" style="16" min="29" max="29"/>
    <col width="20.44140625" bestFit="1" customWidth="1" style="16" min="30" max="30"/>
    <col width="16.109375" bestFit="1" customWidth="1" style="16" min="31" max="31"/>
    <col width="21.5546875" bestFit="1" customWidth="1" style="16" min="32" max="32"/>
    <col width="25.77734375" bestFit="1" customWidth="1" style="47" min="33" max="33"/>
    <col width="16.88671875" bestFit="1" customWidth="1" style="47" min="34" max="34"/>
    <col width="24.109375" bestFit="1" customWidth="1" style="47" min="35" max="35"/>
    <col width="26" bestFit="1" customWidth="1" style="47" min="36" max="36"/>
    <col width="22.21875" bestFit="1" customWidth="1" style="47" min="37" max="37"/>
    <col width="28" bestFit="1" customWidth="1" style="47" min="38" max="38"/>
    <col width="22.21875" bestFit="1" customWidth="1" style="47" min="39" max="39"/>
    <col width="16.77734375" bestFit="1" customWidth="1" style="47" min="40" max="40"/>
    <col width="14.33203125" bestFit="1" customWidth="1" style="47" min="41" max="41"/>
    <col width="16.5546875" bestFit="1" customWidth="1" style="47" min="42" max="42"/>
    <col width="15.5546875" bestFit="1" customWidth="1" style="47" min="43" max="43"/>
    <col width="21.21875" bestFit="1" customWidth="1" style="47" min="44" max="44"/>
    <col width="19.33203125" bestFit="1" customWidth="1" style="47" min="45" max="45"/>
    <col width="20.21875" bestFit="1" customWidth="1" style="47" min="46" max="46"/>
    <col width="18.5546875" bestFit="1" customWidth="1" style="47" min="47" max="47"/>
    <col width="19.6640625" bestFit="1" customWidth="1" style="47" min="48" max="48"/>
    <col width="29.33203125" bestFit="1" customWidth="1" style="47" min="49" max="49"/>
    <col width="12.44140625" bestFit="1" customWidth="1" style="47" min="50" max="50"/>
    <col width="22.6640625" bestFit="1" customWidth="1" style="47" min="51" max="51"/>
    <col width="15.77734375" bestFit="1" customWidth="1" style="47" min="52" max="52"/>
    <col width="28.21875" bestFit="1" customWidth="1" style="47" min="53" max="53"/>
    <col width="21.5546875" bestFit="1" customWidth="1" style="47" min="54" max="54"/>
    <col width="26.33203125" bestFit="1" customWidth="1" style="47" min="55" max="55"/>
    <col width="19.5546875" bestFit="1" customWidth="1" style="47" min="56" max="56"/>
    <col width="11" bestFit="1" customWidth="1" style="47" min="57" max="57"/>
  </cols>
  <sheetData>
    <row r="1" ht="28.05" customHeight="1" s="47" thickBot="1">
      <c r="A1" s="43" t="inlineStr">
        <is>
          <t>53588A - US - ZooPro — Account Health Analysis</t>
        </is>
      </c>
      <c r="B1" s="53" t="n"/>
      <c r="C1" s="53" t="n"/>
      <c r="D1" s="53" t="n"/>
      <c r="E1" s="53" t="n"/>
      <c r="F1" s="53" t="n"/>
      <c r="G1" s="53" t="n"/>
    </row>
    <row r="2" ht="15" customHeight="1" s="47" thickBot="1">
      <c r="A2" s="25" t="inlineStr">
        <is>
          <t xml:space="preserve">Account Health Version &gt; </t>
        </is>
      </c>
      <c r="B2" s="35" t="inlineStr">
        <is>
          <t>v3.0</t>
        </is>
      </c>
      <c r="C2" s="16" t="n"/>
      <c r="D2" s="46" t="n"/>
    </row>
    <row r="3" ht="15" customHeight="1" s="47" thickBot="1">
      <c r="A3" s="24" t="inlineStr">
        <is>
          <t>Account &gt;</t>
        </is>
      </c>
      <c r="B3" s="34" t="inlineStr">
        <is>
          <t>Account: 9B2AD3 - US - Greestone - seller | Tenant ID: 69ece8e2-28ed-4919-a7a7-b81ede84d5d5 | Account ID: 1425191550341661</t>
        </is>
      </c>
      <c r="D3" s="46" t="n"/>
    </row>
    <row r="4" ht="14.4" customHeight="1" s="47" thickBot="1">
      <c r="A4" s="25" t="inlineStr">
        <is>
          <t xml:space="preserve">Evaluation Window &gt; </t>
        </is>
      </c>
      <c r="B4" s="37" t="inlineStr">
        <is>
          <t>2025-12-31 to 2026-01-30 (30 days)</t>
        </is>
      </c>
      <c r="C4" s="16" t="n"/>
      <c r="D4" s="46" t="n"/>
    </row>
    <row r="5" ht="14.4" customHeight="1" s="47" thickBot="1">
      <c r="A5" s="25" t="inlineStr">
        <is>
          <t xml:space="preserve">Download Date &gt; </t>
        </is>
      </c>
      <c r="B5" s="36" t="n">
        <v>46083.68488425926</v>
      </c>
      <c r="C5" s="16" t="n"/>
      <c r="D5" s="46" t="n"/>
    </row>
    <row r="6" ht="15" customHeight="1" s="47" thickBot="1">
      <c r="A6" s="16" t="n"/>
      <c r="B6" s="16" t="n"/>
      <c r="C6" s="16" t="n"/>
      <c r="D6" s="21" t="n"/>
      <c r="E6" s="21" t="n"/>
      <c r="F6" s="21" t="n"/>
      <c r="G6" s="16" t="n"/>
    </row>
    <row r="7" ht="21" customHeight="1" s="47" thickBot="1">
      <c r="A7" s="48" t="inlineStr">
        <is>
          <t>Account Health Grade</t>
        </is>
      </c>
      <c r="D7" s="52">
        <f>'Logic and Calculation'!B5</f>
        <v/>
      </c>
      <c r="E7" s="53" t="n"/>
      <c r="F7" s="53" t="n"/>
      <c r="G7" s="53" t="n"/>
    </row>
    <row r="8" ht="18" customHeight="1" s="47" thickBot="1">
      <c r="A8" s="48" t="inlineStr">
        <is>
          <t>Interpretation</t>
        </is>
      </c>
      <c r="D8" s="50">
        <f t="array" ref="D8">_xlfn.IFS(D7='Logic and Calculation'!L3,'Logic and Calculation'!M3,D7='Logic and Calculation'!L4,'Logic and Calculation'!M4,D7='Logic and Calculation'!L5,'Logic and Calculation'!M5)</f>
        <v/>
      </c>
      <c r="E8" s="51" t="n"/>
      <c r="F8" s="51" t="n"/>
      <c r="G8" s="51" t="n"/>
    </row>
    <row r="9" ht="18" customHeight="1" s="47" thickBot="1">
      <c r="A9" s="24" t="inlineStr">
        <is>
          <t>ACoS Constrains &gt;</t>
        </is>
      </c>
      <c r="B9" s="34" t="n"/>
      <c r="C9" s="16" t="n"/>
      <c r="D9" s="54" t="n"/>
    </row>
    <row r="10" ht="18" customHeight="1" s="47" thickBot="1">
      <c r="A10" s="24" t="inlineStr">
        <is>
          <t>TACoS Constrains &gt;</t>
        </is>
      </c>
      <c r="B10" s="35" t="n"/>
      <c r="C10" s="16" t="n"/>
      <c r="D10" s="39" t="inlineStr">
        <is>
          <t>PRIMARY KPI</t>
        </is>
      </c>
      <c r="E10" s="38" t="n"/>
      <c r="F10" s="21" t="n"/>
      <c r="G10" s="16" t="n"/>
    </row>
    <row r="11" ht="18" customHeight="1" s="47" thickBot="1">
      <c r="A11" s="24" t="inlineStr">
        <is>
          <t>Budget Constrains &gt;</t>
        </is>
      </c>
      <c r="B11" s="36" t="n"/>
      <c r="C11" s="16" t="n"/>
      <c r="D11" s="21" t="n"/>
      <c r="E11" s="21" t="n"/>
      <c r="F11" s="21" t="n"/>
      <c r="G11" s="16" t="n"/>
    </row>
    <row r="12" ht="18" customHeight="1" s="47">
      <c r="A12" s="16" t="n"/>
      <c r="B12" s="16" t="n"/>
      <c r="C12" s="16" t="n"/>
      <c r="D12" s="21" t="n"/>
      <c r="E12" s="21" t="n"/>
      <c r="F12" s="21" t="n"/>
      <c r="G12" s="16" t="n"/>
    </row>
    <row r="13">
      <c r="A13" s="49" t="inlineStr">
        <is>
          <t>Key Findings (Prioritized) — include all FLAG / PARTIAL controls (no max items)</t>
        </is>
      </c>
    </row>
    <row r="14" ht="19.95" customHeight="1" s="47">
      <c r="A14" s="1" t="inlineStr">
        <is>
          <t>Control ID</t>
        </is>
      </c>
      <c r="B14" s="1" t="inlineStr">
        <is>
          <t>Control Name</t>
        </is>
      </c>
      <c r="C14" s="1" t="inlineStr">
        <is>
          <t>Status</t>
        </is>
      </c>
      <c r="D14" s="1" t="inlineStr">
        <is>
          <t>What We Saw</t>
        </is>
      </c>
      <c r="E14" s="1" t="inlineStr">
        <is>
          <t>Why It Matters</t>
        </is>
      </c>
      <c r="F14" s="1" t="inlineStr">
        <is>
          <t>What You Should Do</t>
        </is>
      </c>
      <c r="G14" s="1" t="inlineStr">
        <is>
          <t>Impact</t>
        </is>
      </c>
      <c r="H14" s="14" t="n"/>
    </row>
    <row r="15" ht="44.4" customHeight="1" s="47">
      <c r="A15" s="17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_xlpm.wysd, 'Account Health_Reference'!J2:J27,
  _xlpm.impact, 'Account Health_Reference'!L2:L27,
  _xlpm.data, _xlfn.HSTACK(_xlpm.id, _xlpm.name, _xlpm.st, _xlpm.saw, _xlpm.matter, _xlpm.wysd, _xlpm.impact),
  _xlfn._xlws.FILTER(_xlpm.data, _xlpm.st&lt;&gt;"OK", "No findings — all controls OK")
)</f>
        <v/>
      </c>
      <c r="B15" s="17" t="n"/>
      <c r="C15" s="18" t="n"/>
      <c r="D15" s="19" t="n"/>
      <c r="E15" s="19" t="n"/>
      <c r="F15" s="19" t="n"/>
      <c r="G15" s="17" t="n"/>
    </row>
    <row r="16" ht="44.4" customHeight="1" s="47">
      <c r="A16" s="17" t="n"/>
      <c r="B16" s="17" t="n"/>
      <c r="C16" s="15" t="n"/>
      <c r="D16" s="19" t="n"/>
      <c r="E16" s="19" t="n"/>
      <c r="F16" s="19" t="n"/>
      <c r="G16" s="17" t="n"/>
    </row>
    <row r="17" ht="44.4" customHeight="1" s="47">
      <c r="A17" s="17" t="n"/>
      <c r="B17" s="17" t="n"/>
      <c r="C17" s="15" t="n"/>
      <c r="D17" s="19" t="n"/>
      <c r="E17" s="19" t="n"/>
      <c r="F17" s="19" t="n"/>
      <c r="G17" s="17" t="n"/>
    </row>
    <row r="18" ht="44.4" customHeight="1" s="47">
      <c r="A18" s="17" t="n"/>
      <c r="B18" s="17" t="n"/>
      <c r="C18" s="15" t="n"/>
      <c r="D18" s="19" t="n"/>
      <c r="E18" s="19" t="n"/>
      <c r="F18" s="19" t="n"/>
      <c r="G18" s="17" t="n"/>
    </row>
    <row r="19" ht="44.4" customHeight="1" s="47">
      <c r="A19" s="17" t="n"/>
      <c r="B19" s="17" t="n"/>
      <c r="C19" s="15" t="n"/>
      <c r="D19" s="19" t="n"/>
      <c r="E19" s="19" t="n"/>
      <c r="F19" s="19" t="n"/>
      <c r="G19" s="17" t="n"/>
    </row>
    <row r="20" ht="44.4" customHeight="1" s="47">
      <c r="A20" s="17" t="n"/>
      <c r="B20" s="17" t="n"/>
      <c r="C20" s="15" t="n"/>
      <c r="D20" s="19" t="n"/>
      <c r="E20" s="19" t="n"/>
      <c r="F20" s="19" t="n"/>
      <c r="G20" s="17" t="n"/>
    </row>
    <row r="21" ht="44.4" customHeight="1" s="47">
      <c r="A21" s="17" t="n"/>
      <c r="B21" s="17" t="n"/>
      <c r="C21" s="15" t="n"/>
      <c r="D21" s="19" t="n"/>
      <c r="E21" s="19" t="n"/>
      <c r="F21" s="19" t="n"/>
      <c r="G21" s="17" t="n"/>
    </row>
    <row r="22" ht="44.4" customHeight="1" s="47">
      <c r="A22" s="17" t="n"/>
      <c r="B22" s="17" t="n"/>
      <c r="C22" s="15" t="n"/>
      <c r="D22" s="19" t="n"/>
      <c r="E22" s="19" t="n"/>
      <c r="F22" s="19" t="n"/>
      <c r="G22" s="17" t="n"/>
    </row>
    <row r="23" ht="44.4" customHeight="1" s="47">
      <c r="A23" s="17" t="n"/>
      <c r="B23" s="17" t="n"/>
      <c r="C23" s="15" t="n"/>
      <c r="D23" s="19" t="n"/>
      <c r="E23" s="19" t="n"/>
      <c r="F23" s="19" t="n"/>
      <c r="G23" s="17" t="n"/>
    </row>
    <row r="24" ht="44.4" customHeight="1" s="47">
      <c r="A24" s="17" t="n"/>
      <c r="B24" s="17" t="n"/>
      <c r="C24" s="15" t="n"/>
      <c r="D24" s="19" t="n"/>
      <c r="E24" s="19" t="n"/>
      <c r="F24" s="19" t="n"/>
      <c r="G24" s="17" t="n"/>
    </row>
    <row r="25" ht="44.4" customHeight="1" s="47">
      <c r="A25" s="17" t="n"/>
      <c r="B25" s="17" t="n"/>
      <c r="C25" s="15" t="n"/>
      <c r="D25" s="19" t="n"/>
      <c r="E25" s="19" t="n"/>
      <c r="F25" s="19" t="n"/>
      <c r="G25" s="17" t="n"/>
    </row>
    <row r="26" ht="44.4" customHeight="1" s="47">
      <c r="A26" s="17" t="n"/>
      <c r="B26" s="17" t="n"/>
      <c r="C26" s="15" t="n"/>
      <c r="D26" s="19" t="n"/>
      <c r="E26" s="19" t="n"/>
      <c r="F26" s="19" t="n"/>
      <c r="G26" s="17" t="n"/>
    </row>
    <row r="27" ht="44.4" customHeight="1" s="47">
      <c r="A27" s="17" t="n"/>
      <c r="B27" s="17" t="n"/>
      <c r="C27" s="15" t="n"/>
      <c r="D27" s="19" t="n"/>
      <c r="E27" s="19" t="n"/>
      <c r="F27" s="19" t="n"/>
      <c r="G27" s="17" t="n"/>
    </row>
    <row r="28" ht="44.4" customHeight="1" s="47">
      <c r="A28" s="17" t="n"/>
      <c r="B28" s="17" t="n"/>
      <c r="C28" s="15" t="n"/>
      <c r="D28" s="19" t="n"/>
      <c r="E28" s="19" t="n"/>
      <c r="F28" s="19" t="n"/>
      <c r="G28" s="17" t="n"/>
    </row>
    <row r="29" ht="44.4" customHeight="1" s="47">
      <c r="A29" s="16" t="n"/>
      <c r="B29" s="16" t="n"/>
      <c r="C29" s="15" t="n"/>
      <c r="D29" s="21" t="n"/>
      <c r="E29" s="21" t="n"/>
      <c r="F29" s="21" t="n"/>
      <c r="G29" s="16" t="n"/>
    </row>
    <row r="30" ht="44.4" customHeight="1" s="47">
      <c r="A30" s="16" t="n"/>
      <c r="B30" s="16" t="n"/>
      <c r="C30" s="15" t="n"/>
      <c r="D30" s="21" t="n"/>
      <c r="E30" s="21" t="n"/>
      <c r="F30" s="21" t="n"/>
      <c r="G30" s="16" t="n"/>
    </row>
    <row r="31" ht="44.4" customHeight="1" s="47">
      <c r="A31" s="16" t="n"/>
      <c r="B31" s="16" t="n"/>
      <c r="C31" s="15" t="n"/>
      <c r="D31" s="21" t="n"/>
      <c r="E31" s="21" t="n"/>
      <c r="F31" s="21" t="n"/>
      <c r="G31" s="16" t="n"/>
    </row>
    <row r="32" ht="44.4" customHeight="1" s="47">
      <c r="A32" s="16" t="n"/>
      <c r="B32" s="16" t="n"/>
      <c r="C32" s="15" t="n"/>
      <c r="D32" s="21" t="n"/>
      <c r="E32" s="21" t="n"/>
      <c r="F32" s="21" t="n"/>
      <c r="G32" s="16" t="n"/>
    </row>
    <row r="33" ht="44.4" customHeight="1" s="47">
      <c r="A33" s="16" t="n"/>
      <c r="B33" s="16" t="n"/>
      <c r="C33" s="15" t="n"/>
      <c r="D33" s="21" t="n"/>
      <c r="E33" s="21" t="n"/>
      <c r="F33" s="21" t="n"/>
      <c r="G33" s="16" t="n"/>
    </row>
    <row r="34" ht="44.4" customHeight="1" s="47">
      <c r="C34" s="15" t="n"/>
    </row>
    <row r="35" ht="44.4" customHeight="1" s="47">
      <c r="C35" s="15" t="n"/>
    </row>
    <row r="36" ht="44.4" customHeight="1" s="47">
      <c r="C36" s="15" t="n"/>
    </row>
    <row r="37" ht="44.4" customHeight="1" s="47">
      <c r="C37" s="15" t="n"/>
    </row>
    <row r="38" ht="44.4" customHeight="1" s="47">
      <c r="C38" s="15" t="n"/>
    </row>
  </sheetData>
  <mergeCells count="9">
    <mergeCell ref="A13:G13"/>
    <mergeCell ref="D9:G9"/>
    <mergeCell ref="A1:G1"/>
    <mergeCell ref="D8:G8"/>
    <mergeCell ref="A8:C8"/>
    <mergeCell ref="D7:G7"/>
    <mergeCell ref="A7:C7"/>
    <mergeCell ref="D2:G2"/>
    <mergeCell ref="D4:G4"/>
  </mergeCells>
  <conditionalFormatting sqref="C15:C38">
    <cfRule type="cellIs" priority="4" operator="equal" dxfId="2" stopIfTrue="1">
      <formula>"OK"</formula>
    </cfRule>
    <cfRule type="cellIs" priority="5" operator="equal" dxfId="1" stopIfTrue="1">
      <formula>"PARTIAL"</formula>
    </cfRule>
    <cfRule type="cellIs" priority="6" operator="equal" dxfId="0" stopIfTrue="1">
      <formula>"FLAG"</formula>
    </cfRule>
  </conditionalFormatting>
  <conditionalFormatting sqref="D7:G7">
    <cfRule type="containsText" priority="1" operator="containsText" dxfId="5" text="Healthy">
      <formula>NOT(ISERROR(SEARCH("Healthy",D7)))</formula>
    </cfRule>
    <cfRule type="containsText" priority="2" operator="containsText" dxfId="4" text="Needs Attention">
      <formula>NOT(ISERROR(SEARCH("Needs Attention",D7)))</formula>
    </cfRule>
    <cfRule type="containsText" priority="3" operator="containsText" dxfId="3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O27"/>
  <sheetViews>
    <sheetView tabSelected="1" topLeftCell="B1" workbookViewId="0">
      <pane ySplit="1" topLeftCell="A9" activePane="bottomLeft" state="frozen"/>
      <selection pane="bottomLeft" activeCell="J19" sqref="J19"/>
    </sheetView>
  </sheetViews>
  <sheetFormatPr baseColWidth="8" defaultRowHeight="14.4"/>
  <cols>
    <col width="22" customWidth="1" style="13" min="1" max="1"/>
    <col width="10.5546875" customWidth="1" style="13" min="2" max="2"/>
    <col width="30" customWidth="1" style="13" min="3" max="3"/>
    <col width="8.44140625" customWidth="1" style="13" min="4" max="4"/>
    <col width="38" customWidth="1" style="28" min="5" max="5"/>
    <col width="38" customWidth="1" style="22" min="6" max="6"/>
    <col width="27.77734375" customWidth="1" style="22" min="7" max="9"/>
    <col width="47.88671875" customWidth="1" style="22" min="10" max="10"/>
    <col width="13.5546875" customWidth="1" style="47" min="11" max="11"/>
    <col width="10" customWidth="1" style="47" min="12" max="12"/>
    <col width="11.6640625" customWidth="1" style="47" min="13" max="13"/>
    <col width="22" customWidth="1" style="47" min="14" max="14"/>
    <col width="39.44140625" customWidth="1" style="47" min="15" max="15"/>
  </cols>
  <sheetData>
    <row r="1" ht="28.2" customHeight="1" s="47" thickBot="1">
      <c r="A1" s="5" t="inlineStr">
        <is>
          <t>Block</t>
        </is>
      </c>
      <c r="B1" s="29" t="inlineStr">
        <is>
          <t>Control ID</t>
        </is>
      </c>
      <c r="C1" s="30" t="inlineStr">
        <is>
          <t>Control Name</t>
        </is>
      </c>
      <c r="D1" s="30" t="inlineStr">
        <is>
          <t>STATUS</t>
        </is>
      </c>
      <c r="E1" s="40" t="inlineStr">
        <is>
          <t>What</t>
        </is>
      </c>
      <c r="F1" s="30" t="inlineStr">
        <is>
          <t>Why</t>
        </is>
      </c>
      <c r="G1" s="30" t="inlineStr">
        <is>
          <t>How</t>
        </is>
      </c>
      <c r="H1" s="31" t="inlineStr">
        <is>
          <t>What We Saw</t>
        </is>
      </c>
      <c r="I1" s="31" t="inlineStr">
        <is>
          <t>Why It Matters</t>
        </is>
      </c>
      <c r="J1" s="42" t="inlineStr">
        <is>
          <t>What You Should Do</t>
        </is>
      </c>
      <c r="K1" s="8" t="inlineStr">
        <is>
          <t>Data Source</t>
        </is>
      </c>
      <c r="L1" s="8" t="inlineStr">
        <is>
          <t>Impact</t>
        </is>
      </c>
      <c r="M1" s="8" t="inlineStr">
        <is>
          <t>Importance</t>
        </is>
      </c>
      <c r="N1" s="8" t="inlineStr">
        <is>
          <t>Priority</t>
        </is>
      </c>
      <c r="O1" s="10" t="inlineStr">
        <is>
          <t>Notes/Intent</t>
        </is>
      </c>
    </row>
    <row r="2" ht="36" customHeight="1" s="47">
      <c r="A2" s="4" t="inlineStr">
        <is>
          <t>Overall Performance</t>
        </is>
      </c>
      <c r="B2" s="4" t="inlineStr">
        <is>
          <t>C001</t>
        </is>
      </c>
      <c r="C2" s="4" t="inlineStr">
        <is>
          <t>MoM Revenue Growth</t>
        </is>
      </c>
      <c r="D2" s="4" t="inlineStr">
        <is>
          <t>OK</t>
        </is>
      </c>
      <c r="E2" s="27" t="inlineStr">
        <is>
          <t>Measure Month-over-Month total revenue change.</t>
        </is>
      </c>
      <c r="F2" s="3" t="inlineStr">
        <is>
          <t>Detect short-term growth acceleration, volatility, or sudden performance shifts.</t>
        </is>
      </c>
      <c r="G2" s="3" t="inlineStr">
        <is>
      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      </is>
      </c>
      <c r="H2" s="3" t="inlineStr">
        <is>
          <t>Observed: Revenue changed {MoM_%} vs prior month ({Prior_Month_Revenue} → {Current_Month_Revenue}).</t>
        </is>
      </c>
      <c r="I2" s="3" t="inlineStr">
        <is>
          <t>MoM revenue declines signal short-term demand loss or operational disruption that can quickly impact scale decisions.</t>
        </is>
      </c>
      <c r="J2" s="7" t="inlineStr">
        <is>
          <t>No Actions Required, visibility only</t>
        </is>
      </c>
      <c r="K2" s="7" t="inlineStr">
        <is>
          <t xml:space="preserve">Tab 04_L24M_Monthly_Performance_Sum: </t>
        </is>
      </c>
      <c r="L2" s="6">
        <f>VLOOKUP(Table1[[#This Row],[Importance]],'Logic and Calculation'!$H$3:$J$12,3,FALSE)</f>
        <v/>
      </c>
      <c r="M2" s="6" t="n">
        <v>5</v>
      </c>
      <c r="N2" s="4">
        <f>VLOOKUP(Table1[[#This Row],[Importance]],'Logic and Calculation'!$H$3:$J$12,2,FALSE)</f>
        <v/>
      </c>
      <c r="O2" s="11" t="n"/>
    </row>
    <row r="3" ht="36" customHeight="1" s="47">
      <c r="A3" s="4" t="inlineStr">
        <is>
          <t>Overall Performance</t>
        </is>
      </c>
      <c r="B3" s="4" t="inlineStr">
        <is>
          <t>C002</t>
        </is>
      </c>
      <c r="C3" s="4" t="inlineStr">
        <is>
          <t>QoQ Revenue Growth</t>
        </is>
      </c>
      <c r="D3" s="4" t="inlineStr">
        <is>
          <t>OK</t>
        </is>
      </c>
      <c r="E3" s="32" t="inlineStr">
        <is>
          <t>Measure Quarter-over-Quarter total revenue change.</t>
        </is>
      </c>
      <c r="F3" s="3" t="inlineStr">
        <is>
          <t>Evaluate medium-term performance trajectory and structural momentum.</t>
        </is>
      </c>
      <c r="G3" s="3" t="inlineStr">
        <is>
      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      </is>
      </c>
      <c r="H3" s="3" t="inlineStr">
        <is>
          <t>Observed: Revenue changed {QoQ_%} vs previous quarter ({Prior_Q_Revenue} → {Current_Q_Revenue}).</t>
        </is>
      </c>
      <c r="I3" s="3" t="inlineStr">
        <is>
          <t>QoQ revenue decline indicates sustained deterioration beyond normal volatility and can restrict scalability.</t>
        </is>
      </c>
      <c r="J3" s="7" t="inlineStr">
        <is>
          <t>Revisit the Current Strategy in Place</t>
        </is>
      </c>
      <c r="K3" s="3" t="inlineStr">
        <is>
          <t xml:space="preserve">Tab 04_L24M_Monthly_Performance_Sum: </t>
        </is>
      </c>
      <c r="L3" s="6">
        <f>VLOOKUP(Table1[[#This Row],[Importance]],'Logic and Calculation'!$H$3:$J$12,3,FALSE)</f>
        <v/>
      </c>
      <c r="M3" s="4" t="n">
        <v>8</v>
      </c>
      <c r="N3" s="4">
        <f>VLOOKUP(Table1[[#This Row],[Importance]],'Logic and Calculation'!$H$3:$J$12,2,FALSE)</f>
        <v/>
      </c>
      <c r="O3" s="12" t="n"/>
    </row>
    <row r="4" ht="36" customHeight="1" s="47">
      <c r="A4" s="4" t="inlineStr">
        <is>
          <t>Overall Performance</t>
        </is>
      </c>
      <c r="B4" s="4" t="inlineStr">
        <is>
          <t>C003</t>
        </is>
      </c>
      <c r="C4" s="4" t="inlineStr">
        <is>
          <t>YoY Revenue Growth</t>
        </is>
      </c>
      <c r="D4" s="4" t="inlineStr">
        <is>
          <t>OK</t>
        </is>
      </c>
      <c r="E4" s="32" t="inlineStr">
        <is>
          <t>Compare revenue vs same period last year.</t>
        </is>
      </c>
      <c r="F4" s="3" t="inlineStr">
        <is>
          <t>Remove seasonality distortion and measure real business expansion.</t>
        </is>
      </c>
      <c r="G4" s="3" t="inlineStr">
        <is>
          <t>Tab 03_Yearly_KPIs_Current_vs_Last_: TotalSales is row 18. Compare B18 (This Period) vs C18 (Previous Period) and compute YoY% = (B18-C18)/C18. FLAG if YoY ≤ -10%; PARTIAL if -5% to -10%; OK if &gt; -5%. Missing data = FLAG.</t>
        </is>
      </c>
      <c r="H4" s="3" t="inlineStr">
        <is>
          <t>Observed: Revenue grew {YoY_%} vs same period last year ({Last_Year_Revenue} → {Current_Revenue}).</t>
        </is>
      </c>
      <c r="I4" s="3" t="inlineStr">
        <is>
          <t>YoY revenue decline indicates structural demand or competitiveness issues versus the same period last year.</t>
        </is>
      </c>
      <c r="J4" s="7" t="inlineStr">
        <is>
          <t>Revisit the current Strategy in Place</t>
        </is>
      </c>
      <c r="K4" s="3" t="inlineStr">
        <is>
          <t>Tab 03_Yearly_KPIs_Current_vs_Last_:</t>
        </is>
      </c>
      <c r="L4" s="6">
        <f>VLOOKUP(Table1[[#This Row],[Importance]],'Logic and Calculation'!$H$3:$J$12,3,FALSE)</f>
        <v/>
      </c>
      <c r="M4" s="4" t="n">
        <v>10</v>
      </c>
      <c r="N4" s="4">
        <f>VLOOKUP(Table1[[#This Row],[Importance]],'Logic and Calculation'!$H$3:$J$12,2,FALSE)</f>
        <v/>
      </c>
      <c r="O4" s="12" t="n"/>
    </row>
    <row r="5" ht="48" customHeight="1" s="47">
      <c r="A5" s="4" t="inlineStr">
        <is>
          <t>Goal x Performance</t>
        </is>
      </c>
      <c r="B5" s="4" t="inlineStr">
        <is>
          <t>C004</t>
        </is>
      </c>
      <c r="C5" s="4" t="inlineStr">
        <is>
          <t>ACoS Short-Term Goal Attainment</t>
        </is>
      </c>
      <c r="D5" s="4" t="inlineStr">
        <is>
          <t>OK</t>
        </is>
      </c>
      <c r="E5" s="32" t="inlineStr">
        <is>
          <t>Compare actual ACoS vs agreed target.</t>
        </is>
      </c>
      <c r="F5" s="3" t="inlineStr">
        <is>
          <t>Ensure efficiency delivery aligns with profitability constraints.</t>
        </is>
      </c>
      <c r="G5" s="3" t="inlineStr">
        <is>
          <t>Tab 38_Client_Success_Insights_Repo: ACoS constraint in O7. Tab 02_Date_Range_KPIs__Date_Range_: current ACoS in M7. Evaluate only when actual &gt; constraint: OK if within +5%; PARTIAL if +5% to +10%; FLAG if &gt; +10%. Missing constraint or KPI = FLAG.</t>
        </is>
      </c>
      <c r="H5" s="3" t="inlineStr">
        <is>
          <t>Observed: Actual ACoS = {Actual_ACoS}% vs Target = {Target_ACoS}% (Δ {ACoS_Diff_pp}pp).</t>
        </is>
      </c>
      <c r="I5" s="3" t="inlineStr">
        <is>
          <t>Breaching the ACoS constraint increases profitability risk and limits scaling (primary KPI emphasized when applicable).</t>
        </is>
      </c>
      <c r="J5" s="7" t="inlineStr">
        <is>
          <t xml:space="preserve">Revisit the actual constrains and, if we are reaching it, we should definitely do something </t>
        </is>
      </c>
      <c r="K5" s="3" t="inlineStr">
        <is>
          <t>Tab 38_Client_Success_Insights_Repo:</t>
        </is>
      </c>
      <c r="L5" s="6">
        <f>VLOOKUP(Table1[[#This Row],[Importance]],'Logic and Calculation'!$H$3:$J$12,3,FALSE)</f>
        <v/>
      </c>
      <c r="M5" s="4" t="n">
        <v>10</v>
      </c>
      <c r="N5" s="4">
        <f>VLOOKUP(Table1[[#This Row],[Importance]],'Logic and Calculation'!$H$3:$J$12,2,FALSE)</f>
        <v/>
      </c>
      <c r="O5" s="12" t="n"/>
    </row>
    <row r="6" ht="36" customHeight="1" s="47">
      <c r="A6" s="4" t="inlineStr">
        <is>
          <t>Goal x Performance</t>
        </is>
      </c>
      <c r="B6" s="4" t="inlineStr">
        <is>
          <t>C005</t>
        </is>
      </c>
      <c r="C6" s="4" t="inlineStr">
        <is>
          <t>TACoS Short-Term Goal Attainment</t>
        </is>
      </c>
      <c r="D6" s="4" t="inlineStr">
        <is>
          <t>OK</t>
        </is>
      </c>
      <c r="E6" s="32" t="inlineStr">
        <is>
          <t>Compare TACoS vs target level.</t>
        </is>
      </c>
      <c r="F6" s="3" t="inlineStr">
        <is>
          <t>Monitor advertising pressure relative to total business revenue.</t>
        </is>
      </c>
      <c r="G6" s="3" t="inlineStr">
        <is>
          <t>Tab 38_Client_Success_Insights_Repo: TACoS constraint in AX7. Tab 02_Date_Range_KPIs__Date_Range_: current TACoS in J7. Evaluate only when actual &gt; constraint: OK if within +5%; PARTIAL if +5% to +10%; FLAG if &gt; +10%. Missing constraint or KPI = FLAG.</t>
        </is>
      </c>
      <c r="H6" s="3" t="inlineStr">
        <is>
          <t>Observed: Actual TACoS = {Actual_TACoS}% vs Target = {Target_TACoS}% (Δ {TACoS_Diff_pp}pp).</t>
        </is>
      </c>
      <c r="I6" s="3" t="inlineStr">
        <is>
          <t>Breaching the TACoS constraint increases total margin pressure and limits scalable growth (primary KPI emphasized when applicable).</t>
        </is>
      </c>
      <c r="J6" s="7" t="inlineStr">
        <is>
          <t xml:space="preserve">Revisit the actual constrains and, if we are reaching it, we should definitely do something </t>
        </is>
      </c>
      <c r="K6" s="3" t="inlineStr">
        <is>
          <t>Tab 38_Client_Success_Insights_Repo:</t>
        </is>
      </c>
      <c r="L6" s="6">
        <f>VLOOKUP(Table1[[#This Row],[Importance]],'Logic and Calculation'!$H$3:$J$12,3,FALSE)</f>
        <v/>
      </c>
      <c r="M6" s="4" t="n">
        <v>10</v>
      </c>
      <c r="N6" s="4">
        <f>VLOOKUP(Table1[[#This Row],[Importance]],'Logic and Calculation'!$H$3:$J$12,2,FALSE)</f>
        <v/>
      </c>
      <c r="O6" s="12" t="n"/>
    </row>
    <row r="7" ht="48" customHeight="1" s="47">
      <c r="A7" s="4" t="inlineStr">
        <is>
          <t>Goal x Performance</t>
        </is>
      </c>
      <c r="B7" s="4" t="inlineStr">
        <is>
          <t>C006</t>
        </is>
      </c>
      <c r="C7" s="4" t="inlineStr">
        <is>
          <t>Budget Short-Term Goal Attainment</t>
        </is>
      </c>
      <c r="D7" s="4" t="inlineStr">
        <is>
          <t>OK</t>
        </is>
      </c>
      <c r="E7" s="32" t="inlineStr">
        <is>
          <t>Measure spend pacing vs planned budget.</t>
        </is>
      </c>
      <c r="F7" s="3" t="inlineStr">
        <is>
          <t>Detect underinvestment or overspending risk.</t>
        </is>
      </c>
      <c r="G7" s="3" t="inlineStr">
        <is>
      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      </is>
      </c>
      <c r="H7" s="3" t="inlineStr">
        <is>
          <t>Observed: Spend pacing at {Spend_vs_Budget}% of planned budget.</t>
        </is>
      </c>
      <c r="I7" s="3" t="inlineStr">
        <is>
          <t>Budget pacing determines whether investment matches the planned growth/profitability strategy and avoids under- or overspending risk.</t>
        </is>
      </c>
      <c r="J7" s="7" t="inlineStr">
        <is>
          <t xml:space="preserve">Revisit the actual constrains and, if we are reaching it, we should definitely do something </t>
        </is>
      </c>
      <c r="K7" s="3" t="inlineStr">
        <is>
          <t>Tab 02_Date_Range_KPIs__Date_Range_:</t>
        </is>
      </c>
      <c r="L7" s="6">
        <f>VLOOKUP(Table1[[#This Row],[Importance]],'Logic and Calculation'!$H$3:$J$12,3,FALSE)</f>
        <v/>
      </c>
      <c r="M7" s="4" t="n">
        <v>10</v>
      </c>
      <c r="N7" s="4">
        <f>VLOOKUP(Table1[[#This Row],[Importance]],'Logic and Calculation'!$H$3:$J$12,2,FALSE)</f>
        <v/>
      </c>
      <c r="O7" s="12" t="n"/>
    </row>
    <row r="8" ht="36" customHeight="1" s="47">
      <c r="A8" s="4" t="inlineStr">
        <is>
          <t>Performance KPI`S Delivery</t>
        </is>
      </c>
      <c r="B8" s="4" t="inlineStr">
        <is>
          <t>C007</t>
        </is>
      </c>
      <c r="C8" s="4" t="inlineStr">
        <is>
          <t>TACoS Trend</t>
        </is>
      </c>
      <c r="D8" s="4" t="inlineStr">
        <is>
          <t>OK</t>
        </is>
      </c>
      <c r="E8" s="32" t="inlineStr">
        <is>
          <t>Measure TACoS YoY change.</t>
        </is>
      </c>
      <c r="F8" s="3" t="inlineStr">
        <is>
          <t>Detect deterioration in total efficiency.</t>
        </is>
      </c>
      <c r="G8" s="3" t="inlineStr">
        <is>
          <t>Tab 03_Yearly_KPIs_Current_vs_Last_: TACoS is row 19. Use D19 (YoY delta as decimal). Directional (only penalize increases): OK if D19 ≤ +0.02; PARTIAL if +0.02 to +0.10; FLAG if &gt; +0.10. Use B19/C19 for values in narrative. Missing data = FLAG.</t>
        </is>
      </c>
      <c r="H8" s="3" t="inlineStr">
        <is>
          <t>Observed: TACoS changed {Δ_TACoS_pp}pp YoY ({Prior_TACoS}% → {Current_TACoS}%).</t>
        </is>
      </c>
      <c r="I8" s="3" t="inlineStr">
        <is>
          <t>Rising TACoS means ads are consuming a larger share of total revenue, reducing long-term profitability and scalability.</t>
        </is>
      </c>
      <c r="J8" s="7" t="inlineStr">
        <is>
          <t>No Actions Required, visibility only</t>
        </is>
      </c>
      <c r="K8" s="3" t="inlineStr">
        <is>
          <t>Tab 03_Yearly_KPIs_Current_vs_Last_:</t>
        </is>
      </c>
      <c r="L8" s="6">
        <f>VLOOKUP(Table1[[#This Row],[Importance]],'Logic and Calculation'!$H$3:$J$12,3,FALSE)</f>
        <v/>
      </c>
      <c r="M8" s="4" t="n">
        <v>7</v>
      </c>
      <c r="N8" s="4">
        <f>VLOOKUP(Table1[[#This Row],[Importance]],'Logic and Calculation'!$H$3:$J$12,2,FALSE)</f>
        <v/>
      </c>
      <c r="O8" s="12" t="n"/>
    </row>
    <row r="9" ht="24" customHeight="1" s="47">
      <c r="A9" s="4" t="inlineStr">
        <is>
          <t>Performance KPI`S Delivery</t>
        </is>
      </c>
      <c r="B9" s="4" t="inlineStr">
        <is>
          <t>C008</t>
        </is>
      </c>
      <c r="C9" s="4" t="inlineStr">
        <is>
          <t>CPC Inflation</t>
        </is>
      </c>
      <c r="D9" s="4" t="inlineStr">
        <is>
          <t>OK</t>
        </is>
      </c>
      <c r="E9" s="32" t="inlineStr">
        <is>
          <t>Measure CPC YoY change.</t>
        </is>
      </c>
      <c r="F9" s="3" t="inlineStr">
        <is>
          <t>Identify auction cost pressure.</t>
        </is>
      </c>
      <c r="G9" s="3" t="inlineStr">
        <is>
          <t>Tab 03_Yearly_KPIs_Current_vs_Last_: CPC is row 10. Use D10 (YoY delta as decimal). Absolute deviation: OK if |D10| ≤ 0.10; PARTIAL if 0.10–0.20; FLAG if &gt;0.20. Missing data = FLAG.</t>
        </is>
      </c>
      <c r="H9" s="3" t="inlineStr">
        <is>
          <t>Observed: CPC changed {CPC_YoY_%} YoY ({Prior_CPC} → {Current_CPC}).</t>
        </is>
      </c>
      <c r="I9" s="3" t="inlineStr">
        <is>
          <t>CPC inflation impacts efficiency and can force higher ACoS/TACoS unless conversion and AOV improve.</t>
        </is>
      </c>
      <c r="J9" s="7" t="inlineStr">
        <is>
          <t>No Actions Required, visibility only</t>
        </is>
      </c>
      <c r="K9" s="3" t="inlineStr">
        <is>
          <t>Tab 03_Yearly_KPIs_Current_vs_Last_:</t>
        </is>
      </c>
      <c r="L9" s="6">
        <f>VLOOKUP(Table1[[#This Row],[Importance]],'Logic and Calculation'!$H$3:$J$12,3,FALSE)</f>
        <v/>
      </c>
      <c r="M9" s="4" t="n">
        <v>1</v>
      </c>
      <c r="N9" s="4">
        <f>VLOOKUP(Table1[[#This Row],[Importance]],'Logic and Calculation'!$H$3:$J$12,2,FALSE)</f>
        <v/>
      </c>
      <c r="O9" s="12" t="n"/>
    </row>
    <row r="10" ht="48" customHeight="1" s="47">
      <c r="A10" s="4" t="inlineStr">
        <is>
          <t>Performance KPI`S Delivery</t>
        </is>
      </c>
      <c r="B10" s="4" t="inlineStr">
        <is>
          <t>C009</t>
        </is>
      </c>
      <c r="C10" s="4" t="inlineStr">
        <is>
          <t>Impressions Trend</t>
        </is>
      </c>
      <c r="D10" s="4" t="inlineStr">
        <is>
          <t>OK</t>
        </is>
      </c>
      <c r="E10" s="32" t="inlineStr">
        <is>
          <t>Measure YoY visibility change.</t>
        </is>
      </c>
      <c r="F10" s="3" t="inlineStr">
        <is>
          <t>Detect traffic loss and competitive displacement.</t>
        </is>
      </c>
      <c r="G10" s="3" t="inlineStr">
        <is>
          <t>Tab 03_Yearly_KPIs_Current_vs_Last_: Impressions is row 7. Use D7 (YoY delta as decimal). Absolute deviation: OK if |D7| ≤ 0.10; PARTIAL if 0.10–0.20; FLAG if &gt;0.20. Missing data = FLAG.</t>
        </is>
      </c>
      <c r="H10" s="3" t="inlineStr">
        <is>
          <t>Observed: Impressions changed {Impr_YoY_%} YoY ({Prior_Impr} → {Current_Impr}).</t>
        </is>
      </c>
      <c r="I10" s="3" t="inlineStr">
        <is>
          <t>Impressions shifts indicate changes in demand capture, visibility, or budget limitations that affect top-of-funnel volume.</t>
        </is>
      </c>
      <c r="J10" s="7" t="inlineStr">
        <is>
          <t>No Actions Required, visibility only</t>
        </is>
      </c>
      <c r="K10" s="3" t="inlineStr">
        <is>
          <t>Tab 03_Yearly_KPIs_Current_vs_Last_:</t>
        </is>
      </c>
      <c r="L10" s="6">
        <f>VLOOKUP(Table1[[#This Row],[Importance]],'Logic and Calculation'!$H$3:$J$12,3,FALSE)</f>
        <v/>
      </c>
      <c r="M10" s="4" t="n">
        <v>1</v>
      </c>
      <c r="N10" s="4">
        <f>VLOOKUP(Table1[[#This Row],[Importance]],'Logic and Calculation'!$H$3:$J$12,2,FALSE)</f>
        <v/>
      </c>
      <c r="O10" s="12" t="n"/>
    </row>
    <row r="11" ht="36" customHeight="1" s="47">
      <c r="A11" s="4" t="inlineStr">
        <is>
          <t>Performance KPI`S Delivery</t>
        </is>
      </c>
      <c r="B11" s="4" t="inlineStr">
        <is>
          <t>C010</t>
        </is>
      </c>
      <c r="C11" s="4" t="inlineStr">
        <is>
          <t>CTR Trend</t>
        </is>
      </c>
      <c r="D11" s="4" t="inlineStr">
        <is>
          <t>OK</t>
        </is>
      </c>
      <c r="E11" s="32" t="inlineStr">
        <is>
          <t>Measure YoY click-through rate change.</t>
        </is>
      </c>
      <c r="F11" s="3" t="inlineStr">
        <is>
          <t>Detect listing relevance or creative issues.</t>
        </is>
      </c>
      <c r="G11" s="3" t="inlineStr">
        <is>
          <t>Tab 03_Yearly_KPIs_Current_vs_Last_: CTR is row 8. Use D8 (YoY delta as decimal). Absolute deviation: OK if |D8| ≤ 0.10; PARTIAL if 0.10–0.20; FLAG if &gt;0.20. Missing data = FLAG.</t>
        </is>
      </c>
      <c r="H11" s="3" t="inlineStr">
        <is>
          <t>Observed: CTR changed {CTR_YoY_%} YoY ({Prior_CTR}% → {Current_CTR}%).</t>
        </is>
      </c>
      <c r="I11" s="3" t="inlineStr">
        <is>
          <t>CTR deterioration signals weaker relevance or creative/product-page issues, often preceding CVR and sales declines.</t>
        </is>
      </c>
      <c r="J11" s="7" t="inlineStr">
        <is>
          <t>No Actions Required, visibility only</t>
        </is>
      </c>
      <c r="K11" s="3" t="inlineStr">
        <is>
          <t>Tab 03_Yearly_KPIs_Current_vs_Last_:</t>
        </is>
      </c>
      <c r="L11" s="6">
        <f>VLOOKUP(Table1[[#This Row],[Importance]],'Logic and Calculation'!$H$3:$J$12,3,FALSE)</f>
        <v/>
      </c>
      <c r="M11" s="4" t="n">
        <v>1</v>
      </c>
      <c r="N11" s="4">
        <f>VLOOKUP(Table1[[#This Row],[Importance]],'Logic and Calculation'!$H$3:$J$12,2,FALSE)</f>
        <v/>
      </c>
      <c r="O11" s="12" t="n"/>
    </row>
    <row r="12" ht="60" customHeight="1" s="47">
      <c r="A12" s="4" t="inlineStr">
        <is>
          <t>Performance KPI`S Delivery</t>
        </is>
      </c>
      <c r="B12" s="4" t="inlineStr">
        <is>
          <t>C011</t>
        </is>
      </c>
      <c r="C12" s="4" t="inlineStr">
        <is>
          <t>Conversion Rate Trend</t>
        </is>
      </c>
      <c r="D12" s="4" t="inlineStr">
        <is>
          <t>OK</t>
        </is>
      </c>
      <c r="E12" s="32" t="inlineStr">
        <is>
          <t>Measure YoY conversion rate change.</t>
        </is>
      </c>
      <c r="F12" s="3" t="inlineStr">
        <is>
          <t>Detect pricing, listing, or competitive issues.</t>
        </is>
      </c>
      <c r="G12" s="3" t="inlineStr">
        <is>
          <t>Tab 03_Yearly_KPIs_Current_vs_Last_: Conversion Rate is row 12. Use D12 (YoY delta as decimal). Absolute deviation: OK if |D12| ≤ 0.10; PARTIAL if 0.10–0.20; FLAG if &gt;0.20. Missing data = FLAG.</t>
        </is>
      </c>
      <c r="H12" s="3" t="inlineStr">
        <is>
          <t>Observed: CVR changed {CVR_YoY_%} YoY ({Prior_CVR}% → {Current_CVR}%).</t>
        </is>
      </c>
      <c r="I12" s="3" t="inlineStr">
        <is>
          <t>CVR decline reduces efficiency and requires more spend to maintain sales, increasing profitability pressure.</t>
        </is>
      </c>
      <c r="J12" s="7" t="inlineStr">
        <is>
          <t>No Actions Required, visibility only</t>
        </is>
      </c>
      <c r="K12" s="3" t="inlineStr">
        <is>
          <t>Tab 03_Yearly_KPIs_Current_vs_Last_:</t>
        </is>
      </c>
      <c r="L12" s="6">
        <f>VLOOKUP(Table1[[#This Row],[Importance]],'Logic and Calculation'!$H$3:$J$12,3,FALSE)</f>
        <v/>
      </c>
      <c r="M12" s="4" t="n">
        <v>1</v>
      </c>
      <c r="N12" s="4">
        <f>VLOOKUP(Table1[[#This Row],[Importance]],'Logic and Calculation'!$H$3:$J$12,2,FALSE)</f>
        <v/>
      </c>
      <c r="O12" s="12" t="n"/>
    </row>
    <row r="13" ht="60" customHeight="1" s="47">
      <c r="A13" s="4" t="inlineStr">
        <is>
          <t>Performance KPI`S Delivery</t>
        </is>
      </c>
      <c r="B13" s="4" t="inlineStr">
        <is>
          <t>C012</t>
        </is>
      </c>
      <c r="C13" s="4" t="inlineStr">
        <is>
          <t>AOV Trend</t>
        </is>
      </c>
      <c r="D13" s="4" t="inlineStr">
        <is>
          <t>OK</t>
        </is>
      </c>
      <c r="E13" s="32" t="inlineStr">
        <is>
          <t>Track YoY average order value change.</t>
        </is>
      </c>
      <c r="F13" s="3" t="inlineStr">
        <is>
          <t>Detect pricing shifts or product mix changes.</t>
        </is>
      </c>
      <c r="G13" s="3" t="inlineStr">
        <is>
          <t>Tab 03_Yearly_KPIs_Current_vs_Last_: AOV is row 14. Use D14 (YoY delta as decimal). Absolute deviation: OK if |D14| ≤ 0.10; PARTIAL if 0.10–0.20; FLAG if &gt;0.20. Missing data = FLAG.</t>
        </is>
      </c>
      <c r="H13" s="3" t="inlineStr">
        <is>
          <t>Observed: AOV changed {AOV_YoY_%} YoY ({Prior_AOV} → {Current_AOV}).</t>
        </is>
      </c>
      <c r="I13" s="3" t="inlineStr">
        <is>
          <t>AOV decline reduces revenue per order and can worsen ROAS/ACoS unless costs fall proportionally.</t>
        </is>
      </c>
      <c r="J13" s="7" t="inlineStr">
        <is>
          <t>No Actions Required, visibility only</t>
        </is>
      </c>
      <c r="K13" s="3" t="inlineStr">
        <is>
          <t>Tab 03_Yearly_KPIs_Current_vs_Last_:</t>
        </is>
      </c>
      <c r="L13" s="6">
        <f>VLOOKUP(Table1[[#This Row],[Importance]],'Logic and Calculation'!$H$3:$J$12,3,FALSE)</f>
        <v/>
      </c>
      <c r="M13" s="4" t="n">
        <v>1</v>
      </c>
      <c r="N13" s="4">
        <f>VLOOKUP(Table1[[#This Row],[Importance]],'Logic and Calculation'!$H$3:$J$12,2,FALSE)</f>
        <v/>
      </c>
      <c r="O13" s="12" t="n"/>
    </row>
    <row r="14" ht="48" customHeight="1" s="47">
      <c r="A14" s="4" t="inlineStr">
        <is>
          <t>Efficiency &amp; Profitability</t>
        </is>
      </c>
      <c r="B14" s="4" t="inlineStr">
        <is>
          <t>C013</t>
        </is>
      </c>
      <c r="C14" s="4" t="inlineStr">
        <is>
          <t>Quartile Fees ÷ Total Sales</t>
        </is>
      </c>
      <c r="D14" s="4" t="inlineStr">
        <is>
          <t>OK</t>
        </is>
      </c>
      <c r="E14" s="32" t="inlineStr">
        <is>
          <t>Measure total fees as % of revenue.</t>
        </is>
      </c>
      <c r="F14" s="3" t="inlineStr">
        <is>
          <t>Assess structural profitability constraints.</t>
        </is>
      </c>
      <c r="G14" s="3" t="inlineStr">
        <is>
      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      </is>
      </c>
      <c r="H14" s="3" t="inlineStr">
        <is>
          <t>Observed: Fees represent {Fees_%}% of total revenue.</t>
        </is>
      </c>
      <c r="I14" s="3" t="inlineStr">
        <is>
          <t>High fees relative to revenue reduce reinvestment capacity and constrain sustainable growth economics.</t>
        </is>
      </c>
      <c r="J14" s="7" t="inlineStr">
        <is>
          <t xml:space="preserve">Revisit this with your director/Manager </t>
        </is>
      </c>
      <c r="K14" s="3" t="inlineStr">
        <is>
          <t>Tab 38_Client_Success_Insights_Repo:</t>
        </is>
      </c>
      <c r="L14" s="6">
        <f>VLOOKUP(Table1[[#This Row],[Importance]],'Logic and Calculation'!$H$3:$J$12,3,FALSE)</f>
        <v/>
      </c>
      <c r="M14" s="4" t="n">
        <v>8</v>
      </c>
      <c r="N14" s="4">
        <f>VLOOKUP(Table1[[#This Row],[Importance]],'Logic and Calculation'!$H$3:$J$12,2,FALSE)</f>
        <v/>
      </c>
      <c r="O14" s="12" t="n"/>
    </row>
    <row r="15" ht="24" customHeight="1" s="47">
      <c r="A15" s="4" t="inlineStr">
        <is>
          <t>Efficiency &amp; Profitability</t>
        </is>
      </c>
      <c r="B15" s="4" t="inlineStr">
        <is>
          <t>C014</t>
        </is>
      </c>
      <c r="C15" s="4" t="inlineStr">
        <is>
          <t>NTB %</t>
        </is>
      </c>
      <c r="D15" s="4" t="inlineStr">
        <is>
          <t>OK</t>
        </is>
      </c>
      <c r="E15" s="32" t="inlineStr">
        <is>
          <t>Measure acquisition rate (New-to-Brand).</t>
        </is>
      </c>
      <c r="F15" s="3" t="inlineStr">
        <is>
          <t>Evaluate customer base expansion.</t>
        </is>
      </c>
      <c r="G15" s="3" t="inlineStr">
        <is>
          <t>Dataset not available in current Databricks export (AMC required). STATUS is forced to FLAG until data + logic exist.</t>
        </is>
      </c>
      <c r="H15" s="3" t="inlineStr">
        <is>
          <t>Observed: NTB rate at {NTB_%}% of total orders.</t>
        </is>
      </c>
      <c r="I15" s="3" t="inlineStr">
        <is>
          <t>NTB% measures new-customer acquisition and top-funnel expansion; missing visibility creates risk in growth diagnostics.</t>
        </is>
      </c>
      <c r="J15" s="7" t="inlineStr">
        <is>
          <t>No Actions Required, visibility only</t>
        </is>
      </c>
      <c r="K15" s="3" t="n"/>
      <c r="L15" s="6">
        <f>VLOOKUP(Table1[[#This Row],[Importance]],'Logic and Calculation'!$H$3:$J$12,3,FALSE)</f>
        <v/>
      </c>
      <c r="M15" s="4" t="n">
        <v>1</v>
      </c>
      <c r="N15" s="4">
        <f>VLOOKUP(Table1[[#This Row],[Importance]],'Logic and Calculation'!$H$3:$J$12,2,FALSE)</f>
        <v/>
      </c>
      <c r="O15" s="12" t="n"/>
    </row>
    <row r="16" ht="24" customHeight="1" s="47">
      <c r="A16" s="4" t="inlineStr">
        <is>
          <t>Efficiency &amp; Profitability</t>
        </is>
      </c>
      <c r="B16" s="4" t="inlineStr">
        <is>
          <t>C015</t>
        </is>
      </c>
      <c r="C16" s="4" t="inlineStr">
        <is>
          <t>Organic Rank Stability</t>
        </is>
      </c>
      <c r="D16" s="4" t="inlineStr">
        <is>
          <t>OK</t>
        </is>
      </c>
      <c r="E16" s="32" t="inlineStr">
        <is>
          <t>Measure search rank consistency.</t>
        </is>
      </c>
      <c r="F16" s="3" t="inlineStr">
        <is>
          <t>Detect reliance on paid traffic.</t>
        </is>
      </c>
      <c r="G16" s="3" t="inlineStr">
        <is>
          <t>Dataset not available in current Databricks export (organic rank source required). STATUS is forced to FLAG until data + logic exist.</t>
        </is>
      </c>
      <c r="H16" s="3" t="inlineStr">
        <is>
          <t>Observed: Average rank volatility of {Rank_Volatility} positions over last 90 days.</t>
        </is>
      </c>
      <c r="I16" s="3" t="inlineStr">
        <is>
          <t>Organic rank stability reflects durable demand and reduced dependency on paid media; missing data limits sustainability read.</t>
        </is>
      </c>
      <c r="J16" s="7" t="inlineStr">
        <is>
          <t>No Actions Required, visibility only</t>
        </is>
      </c>
      <c r="K16" s="3" t="n"/>
      <c r="L16" s="6">
        <f>VLOOKUP(Table1[[#This Row],[Importance]],'Logic and Calculation'!$H$3:$J$12,3,FALSE)</f>
        <v/>
      </c>
      <c r="M16" s="4" t="n">
        <v>1</v>
      </c>
      <c r="N16" s="4">
        <f>VLOOKUP(Table1[[#This Row],[Importance]],'Logic and Calculation'!$H$3:$J$12,2,FALSE)</f>
        <v/>
      </c>
      <c r="O16" s="12" t="n"/>
    </row>
    <row r="17" ht="24" customHeight="1" s="47">
      <c r="A17" s="4" t="inlineStr">
        <is>
          <t>GGS &amp; Commitment</t>
        </is>
      </c>
      <c r="B17" s="4" t="inlineStr">
        <is>
          <t>C016</t>
        </is>
      </c>
      <c r="C17" s="4" t="inlineStr">
        <is>
          <t>GGS Pacing</t>
        </is>
      </c>
      <c r="D17" s="4" t="inlineStr">
        <is>
          <t>OK</t>
        </is>
      </c>
      <c r="E17" s="32" t="inlineStr">
        <is>
          <t>Compare spend vs GGS commitment.</t>
        </is>
      </c>
      <c r="F17" s="3" t="inlineStr">
        <is>
          <t>Evaluate strategic alignment.</t>
        </is>
      </c>
      <c r="G17" s="3" t="inlineStr">
        <is>
          <t>Tab 42_Amazon_GGS_Domo: GGS pacing flags in H7/H8/H9 (SD/SP/SB). OK if all = 'no'; FLAG if any = 'yes'. Missing data = FLAG.</t>
        </is>
      </c>
      <c r="H17" s="3" t="inlineStr">
        <is>
          <t>Observed: GGS pacing at {GGS_Pacing_%}% of committed budget.</t>
        </is>
      </c>
      <c r="I17" s="3" t="inlineStr">
        <is>
          <t>GGS pacing indicates whether growth programs are executing as committed; misses can limit planned expansion.</t>
        </is>
      </c>
      <c r="J17" s="7" t="inlineStr">
        <is>
          <t>Launch new campaigns to comply with the GGS Goal - Utilize the GGS Guidelines</t>
        </is>
      </c>
      <c r="K17" s="3" t="inlineStr">
        <is>
          <t>Tab 42_Amazon_GGS_Domo</t>
        </is>
      </c>
      <c r="L17" s="6">
        <f>VLOOKUP(Table1[[#This Row],[Importance]],'Logic and Calculation'!$H$3:$J$12,3,FALSE)</f>
        <v/>
      </c>
      <c r="M17" s="4" t="n">
        <v>6</v>
      </c>
      <c r="N17" s="4">
        <f>VLOOKUP(Table1[[#This Row],[Importance]],'Logic and Calculation'!$H$3:$J$12,2,FALSE)</f>
        <v/>
      </c>
      <c r="O17" s="12" t="n"/>
    </row>
    <row r="18" ht="24" customHeight="1" s="47">
      <c r="A18" s="4" t="inlineStr">
        <is>
          <t>GGS &amp; Commitment</t>
        </is>
      </c>
      <c r="B18" s="4" t="inlineStr">
        <is>
          <t>C017</t>
        </is>
      </c>
      <c r="C18" s="4" t="inlineStr">
        <is>
          <t>DAA Pacing</t>
        </is>
      </c>
      <c r="D18" s="4" t="inlineStr">
        <is>
          <t>OK</t>
        </is>
      </c>
      <c r="E18" s="32" t="n"/>
      <c r="F18" s="3" t="n"/>
      <c r="G18" s="3" t="inlineStr">
        <is>
          <t>Tab 42_Amazon_GGS_Domo: DAA pacing flags in K7/K8/K9 (SD/SP/SB). OK if all = False; FLAG if any = True. Missing data = FLAG.</t>
        </is>
      </c>
      <c r="H18" s="3" t="n"/>
      <c r="I18" s="3" t="inlineStr">
        <is>
          <t>DAA pacing reflects demand acceleration execution; under-delivery can suppress growth and category competitiveness.</t>
        </is>
      </c>
      <c r="J18" s="7" t="inlineStr">
        <is>
          <t>No Actions Required, visibility only</t>
        </is>
      </c>
      <c r="K18" s="3" t="inlineStr">
        <is>
          <t>Tab 42_Amazon_GGS_Domo</t>
        </is>
      </c>
      <c r="L18" s="6">
        <f>VLOOKUP(Table1[[#This Row],[Importance]],'Logic and Calculation'!$H$3:$J$12,3,FALSE)</f>
        <v/>
      </c>
      <c r="M18" s="4" t="n">
        <v>1</v>
      </c>
      <c r="N18" s="4">
        <f>VLOOKUP(Table1[[#This Row],[Importance]],'Logic and Calculation'!$H$3:$J$12,2,FALSE)</f>
        <v/>
      </c>
      <c r="O18" s="12" t="n"/>
    </row>
    <row r="19" ht="36" customHeight="1" s="47">
      <c r="A19" s="4" t="inlineStr">
        <is>
          <t>GGS &amp; Commitment</t>
        </is>
      </c>
      <c r="B19" s="4" t="inlineStr">
        <is>
          <t>C018</t>
        </is>
      </c>
      <c r="C19" s="4" t="inlineStr">
        <is>
          <t>SAS Pacing</t>
        </is>
      </c>
      <c r="D19" s="4" t="inlineStr">
        <is>
          <t>OK</t>
        </is>
      </c>
      <c r="E19" s="27" t="n"/>
      <c r="F19" s="3" t="n"/>
      <c r="G19" s="3" t="inlineStr">
        <is>
          <t>Tab 42_Amazon_GGS_Domo: SAS pacing flags in M7/M8/M9 (SD/SP/SB). OK if all = False; FLAG if any = True. Missing data = FLAG.</t>
        </is>
      </c>
      <c r="H19" s="3" t="n"/>
      <c r="I19" s="3" t="inlineStr">
        <is>
          <t>SAS pacing indicates strategic support execution; deviations can signal commitment or operational gaps.</t>
        </is>
      </c>
      <c r="J19" s="7" t="inlineStr">
        <is>
          <t>No Actions Required, visibility only</t>
        </is>
      </c>
      <c r="K19" s="3" t="inlineStr">
        <is>
          <t>Tab 42_Amazon_GGS_Domo</t>
        </is>
      </c>
      <c r="L19" s="6">
        <f>VLOOKUP(Table1[[#This Row],[Importance]],'Logic and Calculation'!$H$3:$J$12,3,FALSE)</f>
        <v/>
      </c>
      <c r="M19" s="4" t="n">
        <v>1</v>
      </c>
      <c r="N19" s="4">
        <f>VLOOKUP(Table1[[#This Row],[Importance]],'Logic and Calculation'!$H$3:$J$12,2,FALSE)</f>
        <v/>
      </c>
      <c r="O19" s="12" t="n"/>
    </row>
    <row r="20" ht="36" customHeight="1" s="47">
      <c r="A20" s="4" t="inlineStr">
        <is>
          <t>Client Risk &amp; Sentiment</t>
        </is>
      </c>
      <c r="B20" s="4" t="inlineStr">
        <is>
          <t>C019</t>
        </is>
      </c>
      <c r="C20" s="4" t="inlineStr">
        <is>
          <t>Financial Risk Indicator</t>
        </is>
      </c>
      <c r="D20" s="4" t="inlineStr">
        <is>
          <t>OK</t>
        </is>
      </c>
      <c r="E20" s="32" t="inlineStr">
        <is>
          <t>Evaluate payment or credit risk.</t>
        </is>
      </c>
      <c r="F20" s="3" t="inlineStr">
        <is>
          <t>Detect churn probability.</t>
        </is>
      </c>
      <c r="G20" s="3" t="inlineStr">
        <is>
      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      </is>
      </c>
      <c r="H20" s="3" t="inlineStr">
        <is>
          <t>Observed: Financial status classified as {Risk_Status}.</t>
        </is>
      </c>
      <c r="I20" s="3" t="inlineStr">
        <is>
          <t>Missed or delayed payments are a leading indicator of financial stress and elevated churn / service risk.</t>
        </is>
      </c>
      <c r="J20" s="7" t="inlineStr">
        <is>
          <t xml:space="preserve">Revisit this with your Client </t>
        </is>
      </c>
      <c r="K20" s="3" t="inlineStr">
        <is>
          <t>Tab 46_Stripe_Payments</t>
        </is>
      </c>
      <c r="L20" s="6">
        <f>VLOOKUP(Table1[[#This Row],[Importance]],'Logic and Calculation'!$H$3:$J$12,3,FALSE)</f>
        <v/>
      </c>
      <c r="M20" s="4" t="n">
        <v>7</v>
      </c>
      <c r="N20" s="4">
        <f>VLOOKUP(Table1[[#This Row],[Importance]],'Logic and Calculation'!$H$3:$J$12,2,FALSE)</f>
        <v/>
      </c>
      <c r="O20" s="12" t="n"/>
    </row>
    <row r="21" ht="36" customHeight="1" s="47">
      <c r="A21" s="4" t="inlineStr">
        <is>
          <t>Client Risk &amp; Sentiment</t>
        </is>
      </c>
      <c r="B21" s="4" t="inlineStr">
        <is>
          <t>C020</t>
        </is>
      </c>
      <c r="C21" s="4" t="inlineStr">
        <is>
          <t>Churn Zero Score</t>
        </is>
      </c>
      <c r="D21" s="4" t="inlineStr">
        <is>
          <t>OK</t>
        </is>
      </c>
      <c r="E21" s="27" t="inlineStr">
        <is>
          <t>Measure churn likelihood.</t>
        </is>
      </c>
      <c r="F21" s="3" t="inlineStr">
        <is>
          <t>Identify retention risk.</t>
        </is>
      </c>
      <c r="G21" s="3" t="inlineStr">
        <is>
          <t>Dataset not available in current Databricks export. STATUS is forced to FLAG until data + logic exist.</t>
        </is>
      </c>
      <c r="H21" s="3" t="inlineStr">
        <is>
          <t>Observed: Churn probability score at {Churn0_Score} (Risk Tier: {Risk_Level}).</t>
        </is>
      </c>
      <c r="I21" s="3" t="inlineStr">
        <is>
          <t>Churn risk scoring enables early intervention; missing data prevents proactive retention escalation.</t>
        </is>
      </c>
      <c r="J21" s="7" t="inlineStr">
        <is>
          <t xml:space="preserve">Revisit this with your Client </t>
        </is>
      </c>
      <c r="K21" s="3" t="n"/>
      <c r="L21" s="6">
        <f>VLOOKUP(Table1[[#This Row],[Importance]],'Logic and Calculation'!$H$3:$J$12,3,FALSE)</f>
        <v/>
      </c>
      <c r="M21" s="4" t="n">
        <v>7</v>
      </c>
      <c r="N21" s="4">
        <f>VLOOKUP(Table1[[#This Row],[Importance]],'Logic and Calculation'!$H$3:$J$12,2,FALSE)</f>
        <v/>
      </c>
      <c r="O21" s="12" t="n"/>
    </row>
    <row r="22" ht="36" customHeight="1" s="47">
      <c r="A22" s="4" t="inlineStr">
        <is>
          <t>Benchmark Comparison</t>
        </is>
      </c>
      <c r="B22" s="4" t="inlineStr">
        <is>
          <t>C021</t>
        </is>
      </c>
      <c r="C22" s="4" t="inlineStr">
        <is>
          <t>ACoS Category Benchmark</t>
        </is>
      </c>
      <c r="D22" s="4" t="inlineStr">
        <is>
          <t>OK</t>
        </is>
      </c>
      <c r="E22" s="33" t="inlineStr">
        <is>
          <t>Compare Account ACoS vs Category Average.</t>
        </is>
      </c>
      <c r="F22" s="33" t="inlineStr">
        <is>
          <t>Measure efficiency positioning relative to competitors.</t>
        </is>
      </c>
      <c r="G22" s="33" t="inlineStr">
        <is>
          <t>Tab 43_Cohort_Main_Category_Perform: compare our ACoS B7 vs benchmark ACoS I7. Deviation = (Our-Bench)/Bench, directional (only penalize when higher). OK if &lt;10% above; PARTIAL if 10–20% above; FLAG if &gt;20% above.</t>
        </is>
      </c>
      <c r="H22" s="33" t="inlineStr">
        <is>
          <t>Observed: Account ACoS = {Account_ACoS}% vs Category = {Category_ACoS}% (Δ {Diff_pp}pp).</t>
        </is>
      </c>
      <c r="I22" s="33" t="inlineStr">
        <is>
          <t>Higher-than-benchmark ACoS indicates weaker competitive efficiency versus category peers.</t>
        </is>
      </c>
      <c r="J22" s="7" t="inlineStr">
        <is>
          <t>No Actions Required, visibility only</t>
        </is>
      </c>
      <c r="K22" s="7" t="inlineStr">
        <is>
          <t>Tab 43_Cohort_Main_Category_Perform:</t>
        </is>
      </c>
      <c r="L22" s="6">
        <f>VLOOKUP(Table1[[#This Row],[Importance]],'Logic and Calculation'!$H$3:$J$12,3,FALSE)</f>
        <v/>
      </c>
      <c r="M22" s="6" t="n">
        <v>1</v>
      </c>
      <c r="N22" s="6">
        <f>VLOOKUP(Table1[[#This Row],[Importance]],'Logic and Calculation'!$H$3:$J$12,2,FALSE)</f>
        <v/>
      </c>
      <c r="O22" s="26" t="n"/>
    </row>
    <row r="23" ht="36" customHeight="1" s="47">
      <c r="A23" s="4" t="inlineStr">
        <is>
          <t>Benchmark Comparison</t>
        </is>
      </c>
      <c r="B23" s="4" t="inlineStr">
        <is>
          <t>C022</t>
        </is>
      </c>
      <c r="C23" s="4" t="inlineStr">
        <is>
          <t>Conversion Rate Category Benchmark</t>
        </is>
      </c>
      <c r="D23" s="4" t="inlineStr">
        <is>
          <t>OK</t>
        </is>
      </c>
      <c r="E23" s="33" t="inlineStr">
        <is>
          <t>Compare Account CVR vs Category Average.</t>
        </is>
      </c>
      <c r="F23" s="33" t="inlineStr">
        <is>
          <t>Measure purchase efficiency vs competitive landscape.</t>
        </is>
      </c>
      <c r="G23" s="33" t="inlineStr">
        <is>
          <t>Tab 43_Cohort_Main_Category_Perform: compare our CR D7 vs benchmark CR M7. Directional (only penalize when lower). Deviation = (Bench-Our)/Bench. OK if &lt;10% below; PARTIAL if 10–20% below; FLAG if &gt;20% below.</t>
        </is>
      </c>
      <c r="H23" s="33" t="inlineStr">
        <is>
          <t>Observed: Account CVR = {Account_CVR}% vs Category = {Category_CVR}% (Δ {Diff_%}).</t>
        </is>
      </c>
      <c r="I23" s="33" t="inlineStr">
        <is>
          <t>Lower-than-benchmark conversion rate signals weaker competitiveness and typically drives higher costs to scale.</t>
        </is>
      </c>
      <c r="J23" s="7" t="inlineStr">
        <is>
          <t>No Actions Required, visibility only</t>
        </is>
      </c>
      <c r="K23" s="3" t="inlineStr">
        <is>
          <t>Tab 43_Cohort_Main_Category_Perform:</t>
        </is>
      </c>
      <c r="L23" s="6">
        <f>VLOOKUP(Table1[[#This Row],[Importance]],'Logic and Calculation'!$H$3:$J$12,3,FALSE)</f>
        <v/>
      </c>
      <c r="M23" s="4" t="n">
        <v>1</v>
      </c>
      <c r="N23" s="4">
        <f>VLOOKUP(Table1[[#This Row],[Importance]],'Logic and Calculation'!$H$3:$J$12,2,FALSE)</f>
        <v/>
      </c>
      <c r="O23" s="12" t="n"/>
    </row>
    <row r="24" ht="36" customHeight="1" s="47">
      <c r="A24" s="4" t="inlineStr">
        <is>
          <t>Benchmark Comparison</t>
        </is>
      </c>
      <c r="B24" s="4" t="inlineStr">
        <is>
          <t>C023</t>
        </is>
      </c>
      <c r="C24" s="4" t="inlineStr">
        <is>
          <t>TACoS Category Benchmark</t>
        </is>
      </c>
      <c r="D24" s="4" t="inlineStr">
        <is>
          <t>OK</t>
        </is>
      </c>
      <c r="E24" s="33" t="inlineStr">
        <is>
          <t>Compare Account TACoS vs Category TACoS.</t>
        </is>
      </c>
      <c r="F24" s="33" t="inlineStr">
        <is>
          <t>Measure advertising pressure vs category norm.</t>
        </is>
      </c>
      <c r="G24" s="33" t="inlineStr">
        <is>
          <t>Tab 43_Cohort_Main_Category_Perform: compare our TACoS C7 vs benchmark TACoS K7. Directional (only penalize when higher). OK if &lt;10% above; PARTIAL if 10–20% above; FLAG if &gt;20% above.</t>
        </is>
      </c>
      <c r="H24" s="33" t="inlineStr">
        <is>
          <t>Observed: Account TACoS = {Account_TACoS}% vs Category = {Category_TACoS}% (Δ {Diff_pp}pp).</t>
        </is>
      </c>
      <c r="I24" s="33" t="inlineStr">
        <is>
          <t>Higher-than-benchmark TACoS indicates margin pressure and structural profitability disadvantage.</t>
        </is>
      </c>
      <c r="J24" s="7" t="inlineStr">
        <is>
          <t>No Actions Required, visibility only</t>
        </is>
      </c>
      <c r="K24" s="3" t="inlineStr">
        <is>
          <t>Tab 43_Cohort_Main_Category_Perform:</t>
        </is>
      </c>
      <c r="L24" s="6">
        <f>VLOOKUP(Table1[[#This Row],[Importance]],'Logic and Calculation'!$H$3:$J$12,3,FALSE)</f>
        <v/>
      </c>
      <c r="M24" s="4" t="n">
        <v>1</v>
      </c>
      <c r="N24" s="4">
        <f>VLOOKUP(Table1[[#This Row],[Importance]],'Logic and Calculation'!$H$3:$J$12,2,FALSE)</f>
        <v/>
      </c>
      <c r="O24" s="12" t="n"/>
    </row>
    <row r="25" ht="36" customHeight="1" s="47">
      <c r="A25" s="4" t="inlineStr">
        <is>
          <t>Benchmark Comparison</t>
        </is>
      </c>
      <c r="B25" s="4" t="inlineStr">
        <is>
          <t>C024</t>
        </is>
      </c>
      <c r="C25" s="4" t="inlineStr">
        <is>
          <t>CPC Category Benchmark</t>
        </is>
      </c>
      <c r="D25" s="4" t="inlineStr">
        <is>
          <t>OK</t>
        </is>
      </c>
      <c r="E25" s="33" t="inlineStr">
        <is>
          <t>Compare Account CPC vs Category Average CPC.</t>
        </is>
      </c>
      <c r="F25" s="33" t="inlineStr">
        <is>
          <t>Measure auction competitiveness.</t>
        </is>
      </c>
      <c r="G25" s="33" t="inlineStr">
        <is>
          <t>Tab 43_Cohort_Main_Category_Perform: compare our CPC E7 vs benchmark CPC O7. Absolute deviation = |(Our-Bench)/Bench|. OK if &lt;10%; PARTIAL if 10–20%; FLAG if &gt;20%.</t>
        </is>
      </c>
      <c r="H25" s="33" t="inlineStr">
        <is>
          <t>Observed: Account CPC = {Account_CPC} vs Category = {Category_CPC} (Δ {Diff_%}).</t>
        </is>
      </c>
      <c r="I25" s="33" t="inlineStr">
        <is>
          <t>Material CPC deviation versus category indicates marketplace competitiveness shifts affecting efficiency.</t>
        </is>
      </c>
      <c r="J25" s="7" t="inlineStr">
        <is>
          <t>No Actions Required, visibility only</t>
        </is>
      </c>
      <c r="K25" s="3" t="inlineStr">
        <is>
          <t>Tab 43_Cohort_Main_Category_Perform:</t>
        </is>
      </c>
      <c r="L25" s="6">
        <f>VLOOKUP(Table1[[#This Row],[Importance]],'Logic and Calculation'!$H$3:$J$12,3,FALSE)</f>
        <v/>
      </c>
      <c r="M25" s="4" t="n">
        <v>1</v>
      </c>
      <c r="N25" s="4">
        <f>VLOOKUP(Table1[[#This Row],[Importance]],'Logic and Calculation'!$H$3:$J$12,2,FALSE)</f>
        <v/>
      </c>
      <c r="O25" s="12" t="n"/>
    </row>
    <row r="26" ht="36" customHeight="1" s="47">
      <c r="A26" s="4" t="inlineStr">
        <is>
          <t>Benchmark Comparison</t>
        </is>
      </c>
      <c r="B26" s="4" t="inlineStr">
        <is>
          <t>C025</t>
        </is>
      </c>
      <c r="C26" s="4" t="inlineStr">
        <is>
          <t>Organic Sales Category Benchmark</t>
        </is>
      </c>
      <c r="D26" s="4" t="inlineStr">
        <is>
          <t>OK</t>
        </is>
      </c>
      <c r="E26" s="33" t="inlineStr">
        <is>
          <t>Compare Organic Sales Share vs Category Organic Share.</t>
        </is>
      </c>
      <c r="F26" s="33" t="inlineStr">
        <is>
          <t>Measure organic strength vs category norm.</t>
        </is>
      </c>
      <c r="G26" s="33" t="inlineStr">
        <is>
          <t>Tab 43_Cohort_Main_Category_Perform: compare our OrganicSalesRate F7 vs benchmark Q7. Directional (only penalize when lower). OK if &lt;10% below; PARTIAL if 10–20% below; FLAG if &gt;20% below.</t>
        </is>
      </c>
      <c r="H26" s="33" t="inlineStr">
        <is>
          <t>Observed: Organic Share = {Account_Organic_%}% vs Category = {Category_Organic_%}% (Δ {Diff_pp}pp).</t>
        </is>
      </c>
      <c r="I26" s="33" t="inlineStr">
        <is>
          <t>Lower organic sales rate suggests weaker brand demand and higher dependence on paid media to sustain sales.</t>
        </is>
      </c>
      <c r="J26" s="7" t="inlineStr">
        <is>
          <t>No Actions Required, visibility only</t>
        </is>
      </c>
      <c r="K26" s="3" t="inlineStr">
        <is>
          <t>Tab 43_Cohort_Main_Category_Perform:</t>
        </is>
      </c>
      <c r="L26" s="6">
        <f>VLOOKUP(Table1[[#This Row],[Importance]],'Logic and Calculation'!$H$3:$J$12,3,FALSE)</f>
        <v/>
      </c>
      <c r="M26" s="4" t="n">
        <v>1</v>
      </c>
      <c r="N26" s="4">
        <f>VLOOKUP(Table1[[#This Row],[Importance]],'Logic and Calculation'!$H$3:$J$12,2,FALSE)</f>
        <v/>
      </c>
      <c r="O26" s="12" t="n"/>
    </row>
    <row r="27" ht="60" customHeight="1" s="47">
      <c r="A27" s="4" t="inlineStr">
        <is>
          <t>Benchmark Comparison</t>
        </is>
      </c>
      <c r="B27" s="4" t="inlineStr">
        <is>
          <t>C026</t>
        </is>
      </c>
      <c r="C27" s="4" t="inlineStr">
        <is>
          <t>Market Growth Category Benchmark</t>
        </is>
      </c>
      <c r="D27" s="4" t="inlineStr">
        <is>
          <t>OK</t>
        </is>
      </c>
      <c r="E27" s="33" t="inlineStr">
        <is>
          <t>Compare Account YoY Growth vs Category YoY Growth.</t>
        </is>
      </c>
      <c r="F27" s="33" t="inlineStr">
        <is>
          <t>Measure market share gain or erosion.</t>
        </is>
      </c>
      <c r="G27" s="33" t="inlineStr">
        <is>
          <t>Tab 43_Cohort_Main_Category_Perform: compare our SalesGrowth G7 vs benchmark S7. Directional (only penalize when lower). OK if &lt;10% below; PARTIAL if 10–20% below; FLAG if &gt;20% below.</t>
        </is>
      </c>
      <c r="H27" s="33" t="inlineStr">
        <is>
          <t>Observed: Account YoY = {Account_YoY}% vs Category YoY = {Category_YoY}% (Δ {Diff_%}).</t>
        </is>
      </c>
      <c r="I27" s="33" t="inlineStr">
        <is>
          <t>Underperforming category growth signals lost share and reduced competitiveness, requiring strategic intervention.</t>
        </is>
      </c>
      <c r="J27" s="7" t="inlineStr">
        <is>
          <t>No Actions Required, visibility only</t>
        </is>
      </c>
      <c r="K27" s="3" t="inlineStr">
        <is>
          <t>Tab 43_Cohort_Main_Category_Perform:</t>
        </is>
      </c>
      <c r="L27" s="6">
        <f>VLOOKUP(Table1[[#This Row],[Importance]],'Logic and Calculation'!$H$3:$J$12,3,FALSE)</f>
        <v/>
      </c>
      <c r="M27" s="4" t="n">
        <v>3</v>
      </c>
      <c r="N27" s="4">
        <f>VLOOKUP(Table1[[#This Row],[Importance]],'Logic and Calculation'!$H$3:$J$12,2,FALSE)</f>
        <v/>
      </c>
      <c r="O27" s="12" t="n"/>
    </row>
  </sheetData>
  <conditionalFormatting sqref="D2:D27">
    <cfRule type="cellIs" priority="4" operator="equal" dxfId="2" stopIfTrue="1">
      <formula>"OK"</formula>
    </cfRule>
    <cfRule type="cellIs" priority="5" operator="equal" dxfId="1" stopIfTrue="1">
      <formula>"PARTIAL"</formula>
    </cfRule>
    <cfRule type="cellIs" priority="6" operator="equal" dxfId="0" stopIfTrue="1">
      <formula>"FLAG"</formula>
    </cfRule>
  </conditionalFormatting>
  <dataValidations count="1">
    <dataValidation sqref="D2:D27" showDropDown="0" showInputMessage="0" showErrorMessage="0" allowBlank="1" type="list">
      <formula1>"OK,PARTIAL,FLAG"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33"/>
  <sheetViews>
    <sheetView workbookViewId="0">
      <pane ySplit="7" topLeftCell="A8" activePane="bottomLeft" state="frozen"/>
      <selection pane="bottomLeft" activeCell="J21" sqref="J21"/>
    </sheetView>
  </sheetViews>
  <sheetFormatPr baseColWidth="8" defaultRowHeight="14.4"/>
  <cols>
    <col width="12" customWidth="1" style="47" min="1" max="1"/>
    <col width="20" customWidth="1" style="47" min="2" max="2"/>
    <col width="34" customWidth="1" style="47" min="3" max="3"/>
    <col width="10" customWidth="1" style="47" min="4" max="5"/>
    <col width="16" customWidth="1" style="47" min="6" max="6"/>
    <col width="12" customWidth="1" style="47" min="8" max="8"/>
    <col width="22" customWidth="1" style="47" min="9" max="9"/>
    <col width="18" customWidth="1" style="47" min="10" max="10"/>
    <col width="22.21875" customWidth="1" style="47" min="12" max="12"/>
    <col width="15.88671875" customWidth="1" style="47" min="13" max="13"/>
  </cols>
  <sheetData>
    <row r="1">
      <c r="A1" s="2" t="inlineStr">
        <is>
          <t>Control ID</t>
        </is>
      </c>
      <c r="B1" s="2" t="inlineStr">
        <is>
          <t>Block</t>
        </is>
      </c>
      <c r="C1" s="2" t="inlineStr">
        <is>
          <t>Control Name</t>
        </is>
      </c>
      <c r="D1" s="2" t="inlineStr">
        <is>
          <t>STATUS</t>
        </is>
      </c>
      <c r="E1" s="2" t="inlineStr">
        <is>
          <t>Priority</t>
        </is>
      </c>
      <c r="F1" s="2" t="inlineStr">
        <is>
          <t>Penalty Applied</t>
        </is>
      </c>
    </row>
    <row r="2">
      <c r="A2" t="inlineStr">
        <is>
          <t>Start Score</t>
        </is>
      </c>
      <c r="B2" t="n">
        <v>100</v>
      </c>
      <c r="D2" t="inlineStr">
        <is>
          <t>Bands</t>
        </is>
      </c>
      <c r="H2" s="9" t="inlineStr">
        <is>
          <t>Importance</t>
        </is>
      </c>
      <c r="I2" s="9" t="inlineStr">
        <is>
          <t>Priority (Points Lost)</t>
        </is>
      </c>
      <c r="J2" s="9" t="inlineStr">
        <is>
          <t>Impact Magnitude</t>
        </is>
      </c>
      <c r="L2" s="20" t="inlineStr">
        <is>
          <t>Account Health Grade</t>
        </is>
      </c>
      <c r="M2" s="20" t="inlineStr">
        <is>
          <t xml:space="preserve">Interpretation </t>
        </is>
      </c>
    </row>
    <row r="3">
      <c r="A3" t="inlineStr">
        <is>
          <t>Total Penalty</t>
        </is>
      </c>
      <c r="B3">
        <f>SUM(F8:F970)</f>
        <v/>
      </c>
      <c r="D3" t="inlineStr">
        <is>
          <t>75–100 = Healthy</t>
        </is>
      </c>
      <c r="H3" t="n">
        <v>10</v>
      </c>
      <c r="I3" s="41" t="n">
        <v>-30</v>
      </c>
      <c r="J3" t="inlineStr">
        <is>
          <t>Critical</t>
        </is>
      </c>
      <c r="L3" t="inlineStr">
        <is>
          <t>Healthy</t>
        </is>
      </c>
      <c r="M3" t="inlineStr">
        <is>
          <t>The account demonstrates stable growth, controlled efficiency, and manageable risk exposure. Current trajectory supports continued scaling.</t>
        </is>
      </c>
    </row>
    <row r="4">
      <c r="A4" t="inlineStr">
        <is>
          <t>Final Score</t>
        </is>
      </c>
      <c r="B4">
        <f>B2+B3</f>
        <v/>
      </c>
      <c r="D4" t="inlineStr">
        <is>
          <t>40–&lt;75 = Needs Attention</t>
        </is>
      </c>
      <c r="H4" t="n">
        <v>9</v>
      </c>
      <c r="I4" s="41" t="n">
        <v>-27</v>
      </c>
      <c r="J4" t="inlineStr">
        <is>
          <t>High</t>
        </is>
      </c>
      <c r="L4" t="inlineStr">
        <is>
          <t>Needs Attention</t>
        </is>
      </c>
      <c r="M4" t="inlineStr">
        <is>
          <t>Performance gaps or efficiency pressures are emerging that may constrain scalability. Focused corrective action is recommended.</t>
        </is>
      </c>
    </row>
    <row r="5">
      <c r="A5" t="inlineStr">
        <is>
          <t>Account Health  Grade</t>
        </is>
      </c>
      <c r="B5">
        <f>IF(B4&gt;=75,"Healthy",IF(AND(B4&lt;=74,B4&gt;=40),"Needs Attention","At Risk"))</f>
        <v/>
      </c>
      <c r="D5" t="inlineStr">
        <is>
          <t>&lt;40 = At Risk</t>
        </is>
      </c>
      <c r="H5" t="n">
        <v>8</v>
      </c>
      <c r="I5" s="41" t="n">
        <v>-24</v>
      </c>
      <c r="J5" t="inlineStr">
        <is>
          <t>High</t>
        </is>
      </c>
      <c r="L5" t="inlineStr">
        <is>
          <t>At Risk</t>
        </is>
      </c>
      <c r="M5" t="inlineStr">
        <is>
          <t>Structural performance deterioration or elevated risk indicators threaten business stability. Immediate intervention is required to restore trajectory.</t>
        </is>
      </c>
    </row>
    <row r="6">
      <c r="A6" t="inlineStr">
        <is>
          <t>Partial weighting</t>
        </is>
      </c>
      <c r="B6" t="inlineStr">
        <is>
          <t>PARTIAL uses 50% of Priority</t>
        </is>
      </c>
      <c r="H6" t="n">
        <v>7</v>
      </c>
      <c r="I6" s="41" t="n">
        <v>-21</v>
      </c>
      <c r="J6" t="inlineStr">
        <is>
          <t>Medium</t>
        </is>
      </c>
    </row>
    <row r="7">
      <c r="H7" t="n">
        <v>6</v>
      </c>
      <c r="I7" s="41" t="n">
        <v>-18</v>
      </c>
      <c r="J7" t="inlineStr">
        <is>
          <t>Medium</t>
        </is>
      </c>
    </row>
    <row r="8">
      <c r="A8">
        <f>'Account Health_Reference'!B2</f>
        <v/>
      </c>
      <c r="B8">
        <f>'Account Health_Reference'!A2</f>
        <v/>
      </c>
      <c r="C8">
        <f>'Account Health_Reference'!C2</f>
        <v/>
      </c>
      <c r="D8">
        <f>'Account Health_Reference'!D2</f>
        <v/>
      </c>
      <c r="E8">
        <f>'Account Health_Reference'!N2</f>
        <v/>
      </c>
      <c r="F8">
        <f>IF(OR(D8="FLAG",D8="SYSTEM ERROR"),E8,IF(D8="PARTIAL",E8*0.5,0))</f>
        <v/>
      </c>
      <c r="H8" t="n">
        <v>5</v>
      </c>
      <c r="I8" s="41" t="n">
        <v>-15</v>
      </c>
      <c r="J8" t="inlineStr">
        <is>
          <t>Medium</t>
        </is>
      </c>
    </row>
    <row r="9">
      <c r="A9">
        <f>'Account Health_Reference'!B3</f>
        <v/>
      </c>
      <c r="B9">
        <f>'Account Health_Reference'!A3</f>
        <v/>
      </c>
      <c r="C9">
        <f>'Account Health_Reference'!C3</f>
        <v/>
      </c>
      <c r="D9">
        <f>'Account Health_Reference'!D3</f>
        <v/>
      </c>
      <c r="E9">
        <f>'Account Health_Reference'!N3</f>
        <v/>
      </c>
      <c r="F9">
        <f>IF(OR(D9="FLAG",D9="SYSTEM ERROR"),E9,IF(D9="PARTIAL",E9*0.5,0))</f>
        <v/>
      </c>
      <c r="H9" t="n">
        <v>4</v>
      </c>
      <c r="I9" s="41" t="n">
        <v>-12</v>
      </c>
      <c r="J9" t="inlineStr">
        <is>
          <t>Low</t>
        </is>
      </c>
    </row>
    <row r="10">
      <c r="A10">
        <f>'Account Health_Reference'!B4</f>
        <v/>
      </c>
      <c r="B10">
        <f>'Account Health_Reference'!A4</f>
        <v/>
      </c>
      <c r="C10">
        <f>'Account Health_Reference'!C4</f>
        <v/>
      </c>
      <c r="D10">
        <f>'Account Health_Reference'!D4</f>
        <v/>
      </c>
      <c r="E10">
        <f>'Account Health_Reference'!N4</f>
        <v/>
      </c>
      <c r="F10">
        <f>IF(OR(D10="FLAG",D10="SYSTEM ERROR"),E10,IF(D10="PARTIAL",E10*0.5,0))</f>
        <v/>
      </c>
      <c r="H10" t="n">
        <v>3</v>
      </c>
      <c r="I10" s="41" t="n">
        <v>-9</v>
      </c>
      <c r="J10" t="inlineStr">
        <is>
          <t>Low</t>
        </is>
      </c>
    </row>
    <row r="11">
      <c r="A11">
        <f>'Account Health_Reference'!B5</f>
        <v/>
      </c>
      <c r="B11">
        <f>'Account Health_Reference'!A5</f>
        <v/>
      </c>
      <c r="C11">
        <f>'Account Health_Reference'!C5</f>
        <v/>
      </c>
      <c r="D11">
        <f>'Account Health_Reference'!D5</f>
        <v/>
      </c>
      <c r="E11">
        <f>'Account Health_Reference'!N5</f>
        <v/>
      </c>
      <c r="F11">
        <f>IF(OR(D11="FLAG",D11="SYSTEM ERROR"),E11,IF(D11="PARTIAL",E11*0.5,0))</f>
        <v/>
      </c>
      <c r="H11" t="n">
        <v>2</v>
      </c>
      <c r="I11" s="41" t="n">
        <v>-6</v>
      </c>
      <c r="J11" t="inlineStr">
        <is>
          <t>Visibility</t>
        </is>
      </c>
    </row>
    <row r="12">
      <c r="A12">
        <f>'Account Health_Reference'!B6</f>
        <v/>
      </c>
      <c r="B12">
        <f>'Account Health_Reference'!A6</f>
        <v/>
      </c>
      <c r="C12">
        <f>'Account Health_Reference'!C6</f>
        <v/>
      </c>
      <c r="D12">
        <f>'Account Health_Reference'!D6</f>
        <v/>
      </c>
      <c r="E12">
        <f>'Account Health_Reference'!N6</f>
        <v/>
      </c>
      <c r="F12">
        <f>IF(OR(D12="FLAG",D12="SYSTEM ERROR"),E12,IF(D12="PARTIAL",E12*0.5,0))</f>
        <v/>
      </c>
      <c r="H12" t="n">
        <v>1</v>
      </c>
      <c r="I12" s="41" t="n">
        <v>0</v>
      </c>
      <c r="J12" t="inlineStr">
        <is>
          <t>Visibility</t>
        </is>
      </c>
    </row>
    <row r="13">
      <c r="A13">
        <f>'Account Health_Reference'!B7</f>
        <v/>
      </c>
      <c r="B13">
        <f>'Account Health_Reference'!A7</f>
        <v/>
      </c>
      <c r="C13">
        <f>'Account Health_Reference'!C7</f>
        <v/>
      </c>
      <c r="D13">
        <f>'Account Health_Reference'!D7</f>
        <v/>
      </c>
      <c r="E13">
        <f>'Account Health_Reference'!N7</f>
        <v/>
      </c>
      <c r="F13">
        <f>IF(OR(D13="FLAG",D13="SYSTEM ERROR"),E13,IF(D13="PARTIAL",E13*0.5,0))</f>
        <v/>
      </c>
    </row>
    <row r="14">
      <c r="A14">
        <f>'Account Health_Reference'!B8</f>
        <v/>
      </c>
      <c r="B14">
        <f>'Account Health_Reference'!A8</f>
        <v/>
      </c>
      <c r="C14">
        <f>'Account Health_Reference'!C8</f>
        <v/>
      </c>
      <c r="D14">
        <f>'Account Health_Reference'!D8</f>
        <v/>
      </c>
      <c r="E14">
        <f>'Account Health_Reference'!N8</f>
        <v/>
      </c>
      <c r="F14">
        <f>IF(OR(D14="FLAG",D14="SYSTEM ERROR"),E14,IF(D14="PARTIAL",E14*0.5,0))</f>
        <v/>
      </c>
    </row>
    <row r="15">
      <c r="A15">
        <f>'Account Health_Reference'!B9</f>
        <v/>
      </c>
      <c r="B15">
        <f>'Account Health_Reference'!A9</f>
        <v/>
      </c>
      <c r="C15">
        <f>'Account Health_Reference'!C9</f>
        <v/>
      </c>
      <c r="D15">
        <f>'Account Health_Reference'!D9</f>
        <v/>
      </c>
      <c r="E15">
        <f>'Account Health_Reference'!N9</f>
        <v/>
      </c>
      <c r="F15">
        <f>IF(OR(D15="FLAG",D15="SYSTEM ERROR"),E15,IF(D15="PARTIAL",E15*0.5,0))</f>
        <v/>
      </c>
    </row>
    <row r="16">
      <c r="A16">
        <f>'Account Health_Reference'!B10</f>
        <v/>
      </c>
      <c r="B16">
        <f>'Account Health_Reference'!A10</f>
        <v/>
      </c>
      <c r="C16">
        <f>'Account Health_Reference'!C10</f>
        <v/>
      </c>
      <c r="D16">
        <f>'Account Health_Reference'!D10</f>
        <v/>
      </c>
      <c r="E16">
        <f>'Account Health_Reference'!N10</f>
        <v/>
      </c>
      <c r="F16">
        <f>IF(OR(D16="FLAG",D16="SYSTEM ERROR"),E16,IF(D16="PARTIAL",E16*0.5,0))</f>
        <v/>
      </c>
    </row>
    <row r="17">
      <c r="A17">
        <f>'Account Health_Reference'!B11</f>
        <v/>
      </c>
      <c r="B17">
        <f>'Account Health_Reference'!A11</f>
        <v/>
      </c>
      <c r="C17">
        <f>'Account Health_Reference'!C11</f>
        <v/>
      </c>
      <c r="D17">
        <f>'Account Health_Reference'!D11</f>
        <v/>
      </c>
      <c r="E17">
        <f>'Account Health_Reference'!N11</f>
        <v/>
      </c>
      <c r="F17">
        <f>IF(OR(D17="FLAG",D17="SYSTEM ERROR"),E17,IF(D17="PARTIAL",E17*0.5,0))</f>
        <v/>
      </c>
    </row>
    <row r="18">
      <c r="A18">
        <f>'Account Health_Reference'!B12</f>
        <v/>
      </c>
      <c r="B18">
        <f>'Account Health_Reference'!A12</f>
        <v/>
      </c>
      <c r="C18">
        <f>'Account Health_Reference'!C12</f>
        <v/>
      </c>
      <c r="D18">
        <f>'Account Health_Reference'!D12</f>
        <v/>
      </c>
      <c r="E18">
        <f>'Account Health_Reference'!N12</f>
        <v/>
      </c>
      <c r="F18">
        <f>IF(OR(D18="FLAG",D18="SYSTEM ERROR"),E18,IF(D18="PARTIAL",E18*0.5,0))</f>
        <v/>
      </c>
    </row>
    <row r="19">
      <c r="A19">
        <f>'Account Health_Reference'!B13</f>
        <v/>
      </c>
      <c r="B19">
        <f>'Account Health_Reference'!A13</f>
        <v/>
      </c>
      <c r="C19">
        <f>'Account Health_Reference'!C13</f>
        <v/>
      </c>
      <c r="D19">
        <f>'Account Health_Reference'!D13</f>
        <v/>
      </c>
      <c r="E19">
        <f>'Account Health_Reference'!N13</f>
        <v/>
      </c>
      <c r="F19">
        <f>IF(OR(D19="FLAG",D19="SYSTEM ERROR"),E19,IF(D19="PARTIAL",E19*0.5,0))</f>
        <v/>
      </c>
    </row>
    <row r="20">
      <c r="A20">
        <f>'Account Health_Reference'!B14</f>
        <v/>
      </c>
      <c r="B20">
        <f>'Account Health_Reference'!A14</f>
        <v/>
      </c>
      <c r="C20">
        <f>'Account Health_Reference'!C14</f>
        <v/>
      </c>
      <c r="D20">
        <f>'Account Health_Reference'!D14</f>
        <v/>
      </c>
      <c r="E20">
        <f>'Account Health_Reference'!N14</f>
        <v/>
      </c>
      <c r="F20">
        <f>IF(OR(D20="FLAG",D20="SYSTEM ERROR"),E20,IF(D20="PARTIAL",E20*0.5,0))</f>
        <v/>
      </c>
    </row>
    <row r="21">
      <c r="A21">
        <f>'Account Health_Reference'!B15</f>
        <v/>
      </c>
      <c r="B21">
        <f>'Account Health_Reference'!A15</f>
        <v/>
      </c>
      <c r="C21">
        <f>'Account Health_Reference'!C15</f>
        <v/>
      </c>
      <c r="D21">
        <f>'Account Health_Reference'!D15</f>
        <v/>
      </c>
      <c r="E21">
        <f>'Account Health_Reference'!N15</f>
        <v/>
      </c>
      <c r="F21">
        <f>IF(OR(D21="FLAG",D21="SYSTEM ERROR"),E21,IF(D21="PARTIAL",E21*0.5,0))</f>
        <v/>
      </c>
    </row>
    <row r="22">
      <c r="A22">
        <f>'Account Health_Reference'!B16</f>
        <v/>
      </c>
      <c r="B22">
        <f>'Account Health_Reference'!A16</f>
        <v/>
      </c>
      <c r="C22">
        <f>'Account Health_Reference'!C16</f>
        <v/>
      </c>
      <c r="D22">
        <f>'Account Health_Reference'!D16</f>
        <v/>
      </c>
      <c r="E22">
        <f>'Account Health_Reference'!N16</f>
        <v/>
      </c>
      <c r="F22">
        <f>IF(OR(D22="FLAG",D22="SYSTEM ERROR"),E22,IF(D22="PARTIAL",E22*0.5,0))</f>
        <v/>
      </c>
    </row>
    <row r="23">
      <c r="A23">
        <f>'Account Health_Reference'!B17</f>
        <v/>
      </c>
      <c r="B23">
        <f>'Account Health_Reference'!A17</f>
        <v/>
      </c>
      <c r="C23">
        <f>'Account Health_Reference'!C17</f>
        <v/>
      </c>
      <c r="D23">
        <f>'Account Health_Reference'!D17</f>
        <v/>
      </c>
      <c r="E23">
        <f>'Account Health_Reference'!N17</f>
        <v/>
      </c>
      <c r="F23">
        <f>IF(OR(D23="FLAG",D23="SYSTEM ERROR"),E23,IF(D23="PARTIAL",E23*0.5,0))</f>
        <v/>
      </c>
    </row>
    <row r="24">
      <c r="A24">
        <f>'Account Health_Reference'!B18</f>
        <v/>
      </c>
      <c r="B24">
        <f>'Account Health_Reference'!A18</f>
        <v/>
      </c>
      <c r="C24">
        <f>'Account Health_Reference'!C18</f>
        <v/>
      </c>
      <c r="D24">
        <f>'Account Health_Reference'!D18</f>
        <v/>
      </c>
      <c r="E24">
        <f>'Account Health_Reference'!N18</f>
        <v/>
      </c>
      <c r="F24">
        <f>IF(OR(D24="FLAG",D24="SYSTEM ERROR"),E24,IF(D24="PARTIAL",E24*0.5,0))</f>
        <v/>
      </c>
    </row>
    <row r="25">
      <c r="A25">
        <f>'Account Health_Reference'!B19</f>
        <v/>
      </c>
      <c r="B25">
        <f>'Account Health_Reference'!A19</f>
        <v/>
      </c>
      <c r="C25">
        <f>'Account Health_Reference'!C19</f>
        <v/>
      </c>
      <c r="D25">
        <f>'Account Health_Reference'!D19</f>
        <v/>
      </c>
      <c r="E25">
        <f>'Account Health_Reference'!N19</f>
        <v/>
      </c>
      <c r="F25">
        <f>IF(OR(D25="FLAG",D25="SYSTEM ERROR"),E25,IF(D25="PARTIAL",E25*0.5,0))</f>
        <v/>
      </c>
    </row>
    <row r="26">
      <c r="A26">
        <f>'Account Health_Reference'!B20</f>
        <v/>
      </c>
      <c r="B26">
        <f>'Account Health_Reference'!A20</f>
        <v/>
      </c>
      <c r="C26">
        <f>'Account Health_Reference'!C20</f>
        <v/>
      </c>
      <c r="D26">
        <f>'Account Health_Reference'!D20</f>
        <v/>
      </c>
      <c r="E26">
        <f>'Account Health_Reference'!N20</f>
        <v/>
      </c>
      <c r="F26">
        <f>IF(OR(D26="FLAG",D26="SYSTEM ERROR"),E26,IF(D26="PARTIAL",E26*0.5,0))</f>
        <v/>
      </c>
    </row>
    <row r="27">
      <c r="A27">
        <f>'Account Health_Reference'!B21</f>
        <v/>
      </c>
      <c r="B27">
        <f>'Account Health_Reference'!A21</f>
        <v/>
      </c>
      <c r="C27">
        <f>'Account Health_Reference'!C21</f>
        <v/>
      </c>
      <c r="D27">
        <f>'Account Health_Reference'!D21</f>
        <v/>
      </c>
      <c r="E27">
        <f>'Account Health_Reference'!N21</f>
        <v/>
      </c>
      <c r="F27">
        <f>IF(OR(D27="FLAG",D27="SYSTEM ERROR"),E27,IF(D27="PARTIAL",E27*0.5,0))</f>
        <v/>
      </c>
    </row>
    <row r="28">
      <c r="A28">
        <f>'Account Health_Reference'!B22</f>
        <v/>
      </c>
      <c r="B28">
        <f>'Account Health_Reference'!A22</f>
        <v/>
      </c>
      <c r="C28">
        <f>'Account Health_Reference'!C22</f>
        <v/>
      </c>
      <c r="D28">
        <f>'Account Health_Reference'!D22</f>
        <v/>
      </c>
      <c r="E28">
        <f>'Account Health_Reference'!N22</f>
        <v/>
      </c>
      <c r="F28">
        <f>IF(OR(D28="FLAG",D28="SYSTEM ERROR"),E28,IF(D28="PARTIAL",E28*0.5,0))</f>
        <v/>
      </c>
    </row>
    <row r="29">
      <c r="A29">
        <f>'Account Health_Reference'!B23</f>
        <v/>
      </c>
      <c r="B29">
        <f>'Account Health_Reference'!A23</f>
        <v/>
      </c>
      <c r="C29">
        <f>'Account Health_Reference'!C23</f>
        <v/>
      </c>
      <c r="D29">
        <f>'Account Health_Reference'!D23</f>
        <v/>
      </c>
      <c r="E29">
        <f>'Account Health_Reference'!N23</f>
        <v/>
      </c>
      <c r="F29">
        <f>IF(OR(D29="FLAG",D29="SYSTEM ERROR"),E29,IF(D29="PARTIAL",E29*0.5,0))</f>
        <v/>
      </c>
    </row>
    <row r="30">
      <c r="A30">
        <f>'Account Health_Reference'!B24</f>
        <v/>
      </c>
      <c r="B30">
        <f>'Account Health_Reference'!A24</f>
        <v/>
      </c>
      <c r="C30">
        <f>'Account Health_Reference'!C24</f>
        <v/>
      </c>
      <c r="D30">
        <f>'Account Health_Reference'!D24</f>
        <v/>
      </c>
      <c r="E30">
        <f>'Account Health_Reference'!N24</f>
        <v/>
      </c>
      <c r="F30">
        <f>IF(OR(D30="FLAG",D30="SYSTEM ERROR"),E30,IF(D30="PARTIAL",E30*0.5,0))</f>
        <v/>
      </c>
    </row>
    <row r="31">
      <c r="A31">
        <f>'Account Health_Reference'!B25</f>
        <v/>
      </c>
      <c r="B31">
        <f>'Account Health_Reference'!A25</f>
        <v/>
      </c>
      <c r="C31">
        <f>'Account Health_Reference'!C25</f>
        <v/>
      </c>
      <c r="D31">
        <f>'Account Health_Reference'!D25</f>
        <v/>
      </c>
      <c r="E31">
        <f>'Account Health_Reference'!N25</f>
        <v/>
      </c>
      <c r="F31">
        <f>IF(OR(D31="FLAG",D31="SYSTEM ERROR"),E31,IF(D31="PARTIAL",E31*0.5,0))</f>
        <v/>
      </c>
    </row>
    <row r="32">
      <c r="A32">
        <f>'Account Health_Reference'!B26</f>
        <v/>
      </c>
      <c r="B32">
        <f>'Account Health_Reference'!A26</f>
        <v/>
      </c>
      <c r="C32">
        <f>'Account Health_Reference'!C26</f>
        <v/>
      </c>
      <c r="D32">
        <f>'Account Health_Reference'!D26</f>
        <v/>
      </c>
      <c r="E32">
        <f>'Account Health_Reference'!N26</f>
        <v/>
      </c>
      <c r="F32">
        <f>IF(OR(D32="FLAG",D32="SYSTEM ERROR"),E32,IF(D32="PARTIAL",E32*0.5,0))</f>
        <v/>
      </c>
    </row>
    <row r="33">
      <c r="A33">
        <f>'Account Health_Reference'!B27</f>
        <v/>
      </c>
      <c r="B33">
        <f>'Account Health_Reference'!A27</f>
        <v/>
      </c>
      <c r="C33">
        <f>'Account Health_Reference'!C27</f>
        <v/>
      </c>
      <c r="D33">
        <f>'Account Health_Reference'!D27</f>
        <v/>
      </c>
      <c r="E33">
        <f>'Account Health_Reference'!N27</f>
        <v/>
      </c>
      <c r="F33">
        <f>IF(OR(D33="FLAG",D33="SYSTEM ERROR"),E33,IF(D33="PARTIAL",E33*0.5,0))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2026-02-04T19:33:36Z</dcterms:created>
  <dcterms:modified xmlns:dcterms="http://purl.org/dc/terms/" xmlns:xsi="http://www.w3.org/2001/XMLSchema-instance" xsi:type="dcterms:W3CDTF">2026-07-22T12:29:05Z</dcterms:modified>
  <cp:lastModifiedBy>Guilherme | Quartile</cp:lastModifiedBy>
</cp:coreProperties>
</file>