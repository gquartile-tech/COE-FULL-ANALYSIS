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GOOGLE FULL ANALYSIS/COE-FULL-GOOGLE-ANALYSIS-main/templates/"/>
    </mc:Choice>
  </mc:AlternateContent>
  <xr:revisionPtr revIDLastSave="0" documentId="8_{78CF1182-5D7C-4FD0-865E-F1264E64F9A6}" xr6:coauthVersionLast="47" xr6:coauthVersionMax="47" xr10:uidLastSave="{00000000-0000-0000-0000-000000000000}"/>
  <bookViews>
    <workbookView xWindow="-57720" yWindow="0" windowWidth="29040" windowHeight="15720" xr2:uid="{00000000-000D-0000-FFFF-FFFF00000000}"/>
  </bookViews>
  <sheets>
    <sheet name="Account Implement_Analysis" sheetId="1" r:id="rId1"/>
    <sheet name="Account Implement_Reference" sheetId="2" r:id="rId2"/>
    <sheet name="Logic and Calculation" sheetId="4" r:id="rId3"/>
    <sheet name="Implement — WHAT Definitions" sheetId="3" r:id="rId4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12" i="1" s="1"/>
  <c r="D19" i="4"/>
  <c r="F19" i="4" s="1"/>
  <c r="C19" i="4"/>
  <c r="B19" i="4"/>
  <c r="A19" i="4"/>
  <c r="D18" i="4"/>
  <c r="F18" i="4" s="1"/>
  <c r="C18" i="4"/>
  <c r="B18" i="4"/>
  <c r="A18" i="4"/>
  <c r="D17" i="4"/>
  <c r="F17" i="4" s="1"/>
  <c r="C17" i="4"/>
  <c r="B17" i="4"/>
  <c r="A17" i="4"/>
  <c r="F16" i="4"/>
  <c r="D16" i="4"/>
  <c r="C16" i="4"/>
  <c r="B16" i="4"/>
  <c r="A16" i="4"/>
  <c r="D15" i="4"/>
  <c r="F15" i="4" s="1"/>
  <c r="C15" i="4"/>
  <c r="B15" i="4"/>
  <c r="A15" i="4"/>
  <c r="D14" i="4"/>
  <c r="F14" i="4" s="1"/>
  <c r="C14" i="4"/>
  <c r="B14" i="4"/>
  <c r="A14" i="4"/>
  <c r="D13" i="4"/>
  <c r="F13" i="4" s="1"/>
  <c r="C13" i="4"/>
  <c r="B13" i="4"/>
  <c r="A13" i="4"/>
  <c r="D12" i="4"/>
  <c r="F12" i="4" s="1"/>
  <c r="C12" i="4"/>
  <c r="B12" i="4"/>
  <c r="A12" i="4"/>
  <c r="D11" i="4"/>
  <c r="F11" i="4" s="1"/>
  <c r="C11" i="4"/>
  <c r="B11" i="4"/>
  <c r="A11" i="4"/>
  <c r="D10" i="4"/>
  <c r="F10" i="4" s="1"/>
  <c r="C10" i="4"/>
  <c r="B10" i="4"/>
  <c r="A10" i="4"/>
  <c r="D9" i="4"/>
  <c r="F9" i="4" s="1"/>
  <c r="C9" i="4"/>
  <c r="B9" i="4"/>
  <c r="A9" i="4"/>
  <c r="D8" i="4"/>
  <c r="F8" i="4" s="1"/>
  <c r="C8" i="4"/>
  <c r="B8" i="4"/>
  <c r="A8" i="4"/>
  <c r="N13" i="2"/>
  <c r="E19" i="4" s="1"/>
  <c r="L13" i="2"/>
  <c r="N12" i="2"/>
  <c r="E18" i="4" s="1"/>
  <c r="L12" i="2"/>
  <c r="N11" i="2"/>
  <c r="E17" i="4" s="1"/>
  <c r="L11" i="2"/>
  <c r="N10" i="2"/>
  <c r="E16" i="4" s="1"/>
  <c r="L10" i="2"/>
  <c r="N9" i="2"/>
  <c r="E15" i="4" s="1"/>
  <c r="L9" i="2"/>
  <c r="N8" i="2"/>
  <c r="E14" i="4" s="1"/>
  <c r="L8" i="2"/>
  <c r="N7" i="2"/>
  <c r="E13" i="4" s="1"/>
  <c r="L7" i="2"/>
  <c r="N6" i="2"/>
  <c r="E12" i="4" s="1"/>
  <c r="L6" i="2"/>
  <c r="N5" i="2"/>
  <c r="E11" i="4" s="1"/>
  <c r="L5" i="2"/>
  <c r="N4" i="2"/>
  <c r="E10" i="4" s="1"/>
  <c r="L4" i="2"/>
  <c r="N3" i="2"/>
  <c r="E9" i="4" s="1"/>
  <c r="L3" i="2"/>
  <c r="N2" i="2"/>
  <c r="E8" i="4" s="1"/>
  <c r="L2" i="2"/>
  <c r="B3" i="4" l="1"/>
  <c r="B4" i="4" s="1"/>
  <c r="B5" i="4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<sst xmlns="http://schemas.openxmlformats.org/spreadsheetml/2006/main" count="254" uniqueCount="175">
  <si>
    <t>Block</t>
  </si>
  <si>
    <t>Control ID</t>
  </si>
  <si>
    <t>Control Name</t>
  </si>
  <si>
    <t>STATUS</t>
  </si>
  <si>
    <t>What</t>
  </si>
  <si>
    <t>Why</t>
  </si>
  <si>
    <t>How</t>
  </si>
  <si>
    <t>What We Saw</t>
  </si>
  <si>
    <t>Why It Matters</t>
  </si>
  <si>
    <t xml:space="preserve">What You Should Do </t>
  </si>
  <si>
    <t>Data Source</t>
  </si>
  <si>
    <t>Impact</t>
  </si>
  <si>
    <t>Importance</t>
  </si>
  <si>
    <t>Priority</t>
  </si>
  <si>
    <t>Notes/Intent</t>
  </si>
  <si>
    <t>Access &amp; Connectivity</t>
  </si>
  <si>
    <t>I001</t>
  </si>
  <si>
    <t>Salesforce Access Confirmed</t>
  </si>
  <si>
    <t>OK</t>
  </si>
  <si>
    <t>Confirm Quartile has full access to the client's Salesforce record and all required fields are populated — Profile ID, Budget, and ROAS Goal.</t>
  </si>
  <si>
    <t>Salesforce is the SSOT for client constraints, goals, and CS data. Inaccessible records break the entire agent pipeline.</t>
  </si>
  <si>
    <t>Salesforce &gt; Account &gt; Project. Confirm access and that Profile ID, Budget, and ROAS Goal fields are populated.</t>
  </si>
  <si>
    <t>Salesforce record = {SF_status}. AdvertiserId = {profile_id}. Budget = {budget}. ROAS Goal = {roas_goal}.</t>
  </si>
  <si>
    <t>Without Salesforce access, the agent cannot read targets, constraints, or CS context — all pillar evaluations degrade.</t>
  </si>
  <si>
    <t>Populate all missing Salesforce fields before running the audit. Flag to CSM if record is inaccessible.</t>
  </si>
  <si>
    <t>prod_quartile.google.advertisers_v1 (TenantConnected, AdvertiserConnected) + Salesforce ProjectId</t>
  </si>
  <si>
    <t>I002</t>
  </si>
  <si>
    <t>GMC + GA4 Linked to Google Ads</t>
  </si>
  <si>
    <t>Confirm Google Merchant Center and GA4 properties are linked to the Google Ads account. If GMC is not linked, FLAG.</t>
  </si>
  <si>
    <t>GMC feeds Shopping/PMAX product data. GA4 provides total sales, audience signals, and TACoS reporting.</t>
  </si>
  <si>
    <t>Google Ads &gt; Tools &gt; Linked Accounts. Verify both GMC and GA4 connections show as Active.</t>
  </si>
  <si>
    <t>GMC linked = {GMC_status} (Merchant ID: {merchant_id}). GA4 linked = {GA4_status}.</t>
  </si>
  <si>
    <t>Disconnected GMC pauses all Shopping/PMAX product ads. Missing GA4 removes audience targeting and total-sales visibility.</t>
  </si>
  <si>
    <t>Link GMC and GA4 via Google Ads &gt; Tools &gt; Linked Accounts. Verify active status for both before running Shopping/PMAX campaigns.</t>
  </si>
  <si>
    <t>prod_quartile.google.advertisers_v1 (MerchantID) — GMC link inferred from MerchantID presence</t>
  </si>
  <si>
    <t>I003</t>
  </si>
  <si>
    <t>Conversion Tag Active</t>
  </si>
  <si>
    <t>Confirm at least one conversion tag is active and firing. If none, FLAG.</t>
  </si>
  <si>
    <t>Smart Bidding requires conversion signal. A broken or inactive tag means all automated bid strategies are flying blind.</t>
  </si>
  <si>
    <t>Google Ads &gt; Tools &gt; Conversions. Confirm status = Active, last conversion date is recent, no 'Inactive' or 'Unverified' tags.</t>
  </si>
  <si>
    <t>Total conversions in window = {conv_count}. Total spend = {spend}. Campaigns with spend and zero conversions = {zero_conv_campaigns}.</t>
  </si>
  <si>
    <t>A broken conversion tag disables Smart Bidding signal entirely. This is the most critical technical control in the account.</t>
  </si>
  <si>
    <t>If zero conversions across all spend: verify tag firing in Google Ads &gt; Conversions. Rebuild or reconnect tag immediately.</t>
  </si>
  <si>
    <t>prod_quartile.google.campaign_metrics_date_v1 (Conversions, Cost) — 90-day window</t>
  </si>
  <si>
    <t>I004</t>
  </si>
  <si>
    <t>Purchase on Primary Conversion Tag</t>
  </si>
  <si>
    <t>Confirm only Purchase is set as the primary conversion action. Multiple primary tags (e.g. leads + purchases) inflate reported conversions and corrupt Smart Bidding signal.</t>
  </si>
  <si>
    <t>Google Smart Bidding optimizes toward primary conversion actions. If non-purchase events (page views, sign-ups) are set as primary, bidding will optimize for the wrong signal.</t>
  </si>
  <si>
    <t>Google Ads &gt; Tools &gt; Conversions. Check 'Primary action' column — only Purchase type should be Primary. All others must be set to Secondary.</t>
  </si>
  <si>
    <t>Primary conversion actions detected = {primary_conv_count}. Purchase tag present = {has_purchase_tag}.</t>
  </si>
  <si>
    <t>Dual primary tags cause Smart Bidding to optimize toward low-intent actions, inflating conversion volume while ROAS degrades silently.</t>
  </si>
  <si>
    <t>Set all non-purchase conversion actions to Secondary in Google Ads &gt; Tools &gt; Conversions.</t>
  </si>
  <si>
    <t>Google Ads UI — no Databricks signal for conversion action type</t>
  </si>
  <si>
    <t>I005</t>
  </si>
  <si>
    <t>Confirm Conversion Tag on Campaigns</t>
  </si>
  <si>
    <t>Confirm all purchase-driven campaigns have their conversion goals set to the Purchase conversion tag specifically — not account-level defaults or non-purchase tags.</t>
  </si>
  <si>
    <t>Campaign-level conversion goals override account defaults. A campaign set to optimize for the wrong conversion action wastes budget on the wrong objective.</t>
  </si>
  <si>
    <t>Google Ads &gt; Campaigns &gt; Settings &gt; Conversion goals. Verify each PMAX and Search campaign is set to Purchase. Flag any using 'Use account-level goals' if the account default is not Purchase.</t>
  </si>
  <si>
    <t>Campaigns with campaign-level conversion goal override = {override_count}. Campaigns using account default = {default_count}.</t>
  </si>
  <si>
    <t>Smart Bidding at campaign level optimizes for the specified goal. Wrong goal = wrong optimization = wasted spend.</t>
  </si>
  <si>
    <t>Set explicit conversion goal = Purchase on all PMAX and Search campaigns. Do not rely on account-level defaults unless confirmed as Purchase-only.</t>
  </si>
  <si>
    <t>Google Ads UI — campaign-level conversion goal configuration not in Databricks</t>
  </si>
  <si>
    <t>I006</t>
  </si>
  <si>
    <t>Billing Status Active</t>
  </si>
  <si>
    <t>Confirm the Google Ads account has no billing pendencies that would pause ad delivery. If any billing issue exists, FLAG.</t>
  </si>
  <si>
    <t>Billing failures cause instant campaign suspension with zero warning. This is a zero-tolerance control.</t>
  </si>
  <si>
    <t>Tab 15_Stripe_and_Account_Info: status field (col 13). Also verify in Google Ads &gt; Billing &gt; Summary.</t>
  </si>
  <si>
    <t>Billing status = {billing_status}. Invoice status = {invoice_status}. Last payment = {last_payment}.</t>
  </si>
  <si>
    <t>A billing failure pauses the entire account immediately — zero impressions, zero revenue until resolved.</t>
  </si>
  <si>
    <t>Resolve any billing pendency immediately. Update payment method or contact billing team. Never let this stay unresolved.</t>
  </si>
  <si>
    <t>Databricks export Tab 15 (15_Stripe_and_Account_Info) — status col 13, status_invoice col 22</t>
  </si>
  <si>
    <t>I007</t>
  </si>
  <si>
    <t>Policy Violations = Zero</t>
  </si>
  <si>
    <t>Confirm no active policy violations exist in the Google Ads account. If more than 10% of campaigns or ads are affected, FLAG.</t>
  </si>
  <si>
    <t>Policy violations can trigger account suspension, ad disapprovals, and impression share loss at scale.</t>
  </si>
  <si>
    <t>Google Ads &gt; Policy Manager. Confirm zero active violations. Flag any 'Limited' or 'Disapproved' account-level policies.</t>
  </si>
  <si>
    <t>Active policy violations = {violation_count}. Account policy status = {policy_status}.</t>
  </si>
  <si>
    <t>Unresolved policy violations restrict ad serving and, in severe cases, result in full account suspension.</t>
  </si>
  <si>
    <t>Resolve all active violations immediately. For disapproved ads, fix the violating content and resubmit for review.</t>
  </si>
  <si>
    <t>Google Ads UI — Policy Manager. No Databricks signal for account-level policy status.</t>
  </si>
  <si>
    <t>I008</t>
  </si>
  <si>
    <t>Product Disapproval Rate &lt; 10%</t>
  </si>
  <si>
    <t>Confirm fewer than 10% of GMC products are disapproved. If disapproval rate exceeds 10%, FLAG.</t>
  </si>
  <si>
    <t>Disapproved products cannot serve in Shopping or PMAX. Above 10% disapprovals meaningfully caps account inventory and revenue potential.</t>
  </si>
  <si>
    <t>GMC &gt; Overview &gt; Products Dashboard. Count approved vs disapproved. Also check product_v2 Availability field.</t>
  </si>
  <si>
    <t>Total feed products = {total_products}. Available for sale = {available_count}. Unavailable = {unavailable_count}. Unavailability rate = {unavail_pct}%.</t>
  </si>
  <si>
    <t>High product disapproval rates directly reduce the addressable inventory for Shopping and PMAX campaigns.</t>
  </si>
  <si>
    <t>Investigate disapproval reasons in GMC. Fix feed attributes causing disapprovals (title, GTIN, price, availability). Resubmit for review.</t>
  </si>
  <si>
    <t>prod_quartile.google.product_v2 (AvailableForSale, Availability) — proxy for disapproval rate</t>
  </si>
  <si>
    <t>Feed &amp; Data Sources</t>
  </si>
  <si>
    <t>I009</t>
  </si>
  <si>
    <t>GMC Feed Duplication Check</t>
  </si>
  <si>
    <t>Confirm there are no duplicate product feeds being submitted to Google Merchant Center.</t>
  </si>
  <si>
    <t>Duplicate feeds create product conflicts, attribute overwrites, and unpredictable disapprovals in GMC.</t>
  </si>
  <si>
    <t>GMC &gt; Data Sources. Confirm only one primary feed source is active. Flag duplicate or conflicting supplemental feeds.</t>
  </si>
  <si>
    <t>Active feed sources = {source_count}. Duplicate detected = {duplicate_flag}.</t>
  </si>
  <si>
    <t>Feed duplication causes GMC attribute conflicts that can lead to mass disapprovals and inconsistent product data.</t>
  </si>
  <si>
    <t>Remove or merge duplicate feed sources in GMC. Keep one primary feed and only intentional supplemental feeds.</t>
  </si>
  <si>
    <t>Google Merchant Center UI — no Databricks signal for feed source count.</t>
  </si>
  <si>
    <t>I010</t>
  </si>
  <si>
    <t>Quartile Portal Feed Active</t>
  </si>
  <si>
    <t>Confirm the Quartile Portal is actively sending and processing the product feed.</t>
  </si>
  <si>
    <t>If Quartile's feed pipeline breaks, product titles, custom labels, and transformers stop updating, degrading Shopping performance silently.</t>
  </si>
  <si>
    <t>QT Portal &gt; Google Channel &gt; Feed Export &gt; Last Completed. FLAG if last successful export is more than 48 hours ago.</t>
  </si>
  <si>
    <t>Last QT Portal feed export = {last_export}. Feed status = {feed_status}. Products in feed = {product_count}.</t>
  </si>
  <si>
    <t>A stale feed means product data (titles, labels, availability) in Google is outdated. Performance degradation is silent but compounding.</t>
  </si>
  <si>
    <t>Restart feed export in QT Portal. Verify products are flowing through to GMC within 24 hours.</t>
  </si>
  <si>
    <t>prod_quartile.google.product_v2 (LastUpdatedAt) — freshness proxy</t>
  </si>
  <si>
    <t>I011</t>
  </si>
  <si>
    <t>Quartile Portal Last Update</t>
  </si>
  <si>
    <t>Confirm the last QT Portal feed update is within 24 hours. If more than 1 day, FLAG.</t>
  </si>
  <si>
    <t>A stale portal feed means the agent is working with outdated product data — custom labels, titles, and availability signals are all lagging.</t>
  </si>
  <si>
    <t>QT Portal &gt; Google Channel &gt; Feed Export &gt; Last Completed. Check timestamp vs current date.</t>
  </si>
  <si>
    <t>Last portal update = {last_update}. Hours since last update = {hours_ago}.</t>
  </si>
  <si>
    <t>Daily feed refresh is required for DPL labels and product segmentation to reflect current account state.</t>
  </si>
  <si>
    <t>Trigger manual feed refresh in QT Portal if last update &gt; 24h. Investigate if automated refresh is failing.</t>
  </si>
  <si>
    <t>prod_quartile.google.product_v2 (LastUpdatedAt) — same freshness proxy as I010</t>
  </si>
  <si>
    <t>I012</t>
  </si>
  <si>
    <t>Shopify / E-commerce Platform Connected</t>
  </si>
  <si>
    <t>Confirm the client's e-commerce platform (Shopify or other) is connected to Quartile Portal.</t>
  </si>
  <si>
    <t>Platform connection enables total sales tracking and TACoS calculation. Without it, organic sales visibility is zero.</t>
  </si>
  <si>
    <t>Tab 15_Stripe_and_Account_Info: IsConnect col 9. Also check QT Portal &gt; Settings &gt; Connected Channels.</t>
  </si>
  <si>
    <t>Platform connection (IsConnect) = {connection_status}. Platform type = {platform_type}.</t>
  </si>
  <si>
    <t>A disconnected platform means total sales cannot be tracked — TACoS, organic sales, and full-funnel reporting are all blind.</t>
  </si>
  <si>
    <t>Reconnect e-commerce platform in QT Portal &gt; Settings &gt; Connected Channels. Verify total sales are flowing.</t>
  </si>
  <si>
    <t>prod_quartile.google.advertisers_v1 (TenantConnected) + Databricks export Tab 15 (IsConnect)</t>
  </si>
  <si>
    <t>53588A - US - ZooPro — Account Health Analysis</t>
  </si>
  <si>
    <t xml:space="preserve">Implementation Version &gt; </t>
  </si>
  <si>
    <t>v1.0</t>
  </si>
  <si>
    <t>Account &gt;</t>
  </si>
  <si>
    <t>Account: 9B2AD3 - US - Greestone - seller | Tenant ID: 69ece8e2-28ed-4919-a7a7-b81ede84d5d5 | Account ID: 1425191550341661</t>
  </si>
  <si>
    <t xml:space="preserve">Evaluation Window &gt; </t>
  </si>
  <si>
    <t>2025-12-31 to 2026-01-30 (30 days)</t>
  </si>
  <si>
    <t xml:space="preserve">Download Date &gt; </t>
  </si>
  <si>
    <t>Implementation Grade</t>
  </si>
  <si>
    <t>Interpretation</t>
  </si>
  <si>
    <t>Key Findings (Prioritized) — include all FLAG / PARTIAL controls (no max items)</t>
  </si>
  <si>
    <t>Status</t>
  </si>
  <si>
    <t>WHAT — Full Specification for Engineering</t>
  </si>
  <si>
    <t>SCOPE: Tab 22_Client_Success (Client Success Salesforce record) — the single row exported for this account. Evaluated at account level, not campaign level.
CHECK: Confirm the Salesforce record exists and contains all three critical fields:
  1. AdvertiserId (col 80) — must match the Advertiser ID in the export header exactly.
  2. Monthly Budget (col 35) — must be a non-zero positive number.
  3. ROAS Goal / ACoS Constraint (col 75) — must be a non-zero decimal (e.g., 0.166 = 16.6% ACoS = 6.02x ROAS target).
FIELD BEHAVIOR:
  - If Tab 22 is entirely missing or empty → FLAG. Record is inaccessible.
  - If record exists but all three fields are populated → OK.
  - If record exists but one field is missing or zero → PARTIAL.
  - If record exists but two or more critical fields are missing → FLAG.
THRESHOLDS:
  → OK      : Tab 22 present + AdvertiserId matches + Budget &gt; 0 + ACoS constraint &gt; 0
  → PARTIAL : Tab 22 present + exactly one critical field missing or zero
  → FLAG    : Tab 22 empty/missing OR two or more critical fields missing
OUTPUT REQUIRED:
  - Salesforce record found (YES/NO)
  - AdvertiserId in Salesforce vs AdvertiserId in export (both values)
  - Monthly Budget value (or "not set")
  - ROAS Goal derived from ACoS constraint (e.g., "6.02x" or "not set")
  - List of missing fields if any
DATA SOURCES:
  - Tab 22_Client_Success: col 35 (Monthly_Budget__c), col 75 (acos), col 80 (AdvertiserId)
  - Export header: Advertiser ID (used for match validation)</t>
  </si>
  <si>
    <t>SCOPE: Tab 31_Google_Advertiser_Details and Tab 37_Google_Account_Links — both evaluated together. Account-level check, not campaign-level.
CHECK — GMC LINKED:
  1. Tab 31: Read GMC_Linked field (boolean). If TRUE → GMC confirmed linked.
  2. Tab 31: Read MerchantID field. If non-empty and not "0" or "false" → infer GMC linked even if GMC_Linked field is absent.
  3. Tab 37: If neither Tab 31 source is available, check MerchantID column in Tab 37. Non-empty = infer linked.
CHECK — GA4 LINKED:
  1. Tab 37: Read AnalyticsStatus field. If non-empty and not "false"/"0"/"no" → GA4 linked.
  2. Tab 37: Read AnalyticsId field. If non-empty and valid (not "nan"/"false"/"0") → GA4 linked.
FIELD PRIORITY: Tab 31 GMC_Linked is authoritative. Tab 37 is the fallback for both GMC and GA4.
THRESHOLDS:
  → OK      : GMC = linked AND GA4 = linked
  → PARTIAL : GMC = linked AND GA4 = NOT confirmed (audience signals and TACoS unavailable)
  → FLAG    : GMC = NOT linked (Shopping/PMAX cannot serve products)
  → PARTIAL : Neither source available → manual check required
OUTPUT REQUIRED:
  - GMC linked status (YES / NO / UNKNOWN)
  - Merchant ID (value or "not found")
  - GA4 linked status (YES / NO / UNKNOWN)
  - Source tab used for each determination (Tab 31 or Tab 37)
DATA SOURCES:
  - Tab 31_Google_Advertiser_Details: GMC_Linked, MerchantID
  - Tab 37_Google_Account_Links: MerchantID, MerchantStatus, AnalyticsStatus, AnalyticsId</t>
  </si>
  <si>
    <t>SCOPE: Tab 42_Conversion_Actions — all conversion action rows for the account. Evaluated at account level.
PRIMARY CHECK (Tab 42 available):
  1. Filter to rows where Category = 'PURCHASE' AND Status = 'ENABLED' AND IncludeInConversionsMetric = TRUE.
  2. Count qualifying rows → these are active purchase tags contributing to Smart Bidding.
  3. Check LastConversionDate for qualifying rows. A recent date (non-null, non-NaT) confirms the tag is actively firing.
FALLBACK CHECK (Tab 42 not available — older export format):
  Use Tab 12_Campaign_Gold_Metrics. Sum Cost and Conversions across all campaigns.
  If total Conversions &gt; 0 with total Spend &gt; 0 → tag likely active (proxy only).
  If total Conversions = 0 with total Spend &gt; $50 → FLAG (tag broken or unconfigured).
TAG STATUS DEFINITIONS:
  - ENABLED  → Tag is live and included in conversions
  - HIDDEN   → Tag exists but excluded from Smart Bidding signal (counts as inactive for this check)
  - REMOVED  → Tag deleted (exclude from evaluation)
THRESHOLDS:
  → OK      : ≥1 active PURCHASE tag (ENABLED + IncludeInConversions = TRUE) with recent LastConversionDate
  → PARTIAL : ≥1 active PURCHASE tag BUT LastConversionDate is null or very old (&gt;30 days)
  → FLAG    : 0 active PURCHASE tags OR all PURCHASE tags are HIDDEN/REMOVED
  → FLAG    : Fallback mode: total spend &gt; $50 and total conversions = 0
OUTPUT REQUIRED:
  - Total conversion actions configured (integer)
  - Active PURCHASE tags (ENABLED + included) count (integer)
  - Last conversion date for the most recent qualifying tag (date or "none")
  - Source used: Tab 42 or fallback proxy
DATA SOURCES (primary):
  - Tab 42_Conversion_Actions: Category, Status, IncludeInConversionsMetric, LastConversionDate, ActiveActionFlag
DATA SOURCES (fallback):
  - Tab 12_Campaign_Gold_Metrics: Cost, Conversions</t>
  </si>
  <si>
    <t>SCOPE: Tab 42_Conversion_Actions — all rows where the account has defined conversion actions. Evaluated at account level.
CHECK: Identify all conversion actions where BOTH of the following are true:
  1. PrimaryForGoal = TRUE
  2. IncludeInConversionsMetric = TRUE
  3. Status is ENABLED or HIDDEN (active in the system — REMOVED tags are excluded)
For each qualifying "primary" action, check the Category field:
  ACCEPTED primary categories: PURCHASE only.
  REJECTED primary categories: PAGE_VIEW, SIGNUP, BEGIN_CHECKOUT, PHONE_CALL_LEAD, DOWNLOAD, DEFAULT, SUBMIT_LEAD_FORM, and any non-PURCHASE category.
A rejected category set as Primary corrupts Smart Bidding by optimizing for the wrong goal.
EDGE CASES:
  - Multiple PURCHASE tags all set as Primary → OK (redundancy is acceptable, not harmful).
  - If Tab 42 is not available → return PARTIAL with manual check instruction.
  - If PrimaryForGoal column is absent → return PARTIAL.
  - HIDDEN status tags set as Primary: include them (they still register as primary in Google Ads UI).
THRESHOLDS:
  → OK      : 0 non-PURCHASE conversion actions have PrimaryForGoal = TRUE + IncludeInConversions = TRUE
  → FLAG    : ≥1 non-PURCHASE action is set as Primary (active bidding signal corruption)
  (No PARTIAL — this is a binary correctness check. Non-purchase primary = always FLAG.)
OUTPUT REQUIRED:
  - Total primary conversion actions (PrimaryForGoal = TRUE + included) (integer)
  - Purchase tags set as Primary (integer)
  - Non-purchase tags set as Primary (integer + names + categories)
  - Full list of non-purchase primary actions if any (name, category, status — all rows, not truncated)
DATA SOURCES:
  - Tab 42_Conversion_Actions: Name, Category, Status, PrimaryForGoal, IncludeInConversionsMetric, ConversionRole</t>
  </si>
  <si>
    <t>SCOPE: This is a MANUAL-only control. No campaign-level conversion goal override data is available in the Databricks export. Tab 35_Google_Campaign_Settings does not include a ConversionGoal or ConversionActionOverride field.
CHECK (manual, performed in Google Ads UI):
  Navigate to: Google Ads &gt; Campaigns &gt; Settings &gt; Conversion goals tab.
  For each PMAX and Search campaign that is ENABLED:
    → Confirm the campaign-level conversion goal is set to "Purchase" (not inherited from account-level goals only).
    → Flag any campaign where the conversion goal is overridden to a non-purchase action.
WHY THIS IS SEPARATE FROM I004:
  I004 checks the account-level primary conversion tag configuration.
  I005 checks whether individual campaigns override that account-level goal with a different action.
  A campaign can have a correct account-level Purchase primary tag (passing I004) but still be overriding
  to a different goal at campaign level — making the bid strategy optimize for the wrong action for that campaign.
SCORING: This control is excluded from automated scoring (SCORING_EXCLUDED). The agent always returns PARTIAL with the manual verification steps. The reviewer must complete this check during the account review.
OUTPUT REQUIRED (manual):
  - List of ENABLED PMAX and Search campaigns
  - For each: conversion goal setting (Inherited / Purchase override / Other override)
  - Count of campaigns with non-purchase conversion goal override
DATA SOURCES:
  - Google Ads UI: Campaigns &gt; Settings &gt; Conversion goals (not available in Databricks export)</t>
  </si>
  <si>
    <t>SCOPE: Tab 14_Stripe_and_Account_Info — the single row for this account. Evaluated at account level.
CHECK:
  1. Read status field (col 13, 0-indexed). Expected value: 'active' (case-insensitive).
  2. Read status_invoice field (col 22). Acceptable values: 'paid', 'active', or empty/null.
  3. Read last_payment field (col 23) for informational output only (not part of scoring logic).
STATUS FIELD BEHAVIOR:
  - 'active'     → Billing is live. Account is in good standing.
  - 'past_due'   → Invoice overdue. Account at immediate suspension risk → FLAG.
  - 'canceled'   → Account terminated → FLAG.
  - Any other value → Unknown state → FLAG.
INVOICE STATUS FIELD BEHAVIOR:
  - 'paid'       → Invoice settled → OK
  - 'active'     → Invoice open but within terms → OK
  - ''  (empty)  → No invoice issue detected → OK
  - Any other value → Flag for investigation → PARTIAL
THRESHOLDS:
  → OK      : status = 'active' AND invoice_status in ('paid', 'active', '')
  → PARTIAL : status = 'active' AND invoice_status is not in the accepted list
  → FLAG    : status ≠ 'active' (regardless of invoice status)
OUTPUT REQUIRED:
  - Billing status (raw value from col 13)
  - Invoice status (raw value from col 22)
  - Last payment date (raw value from col 23, for context)
DATA SOURCES:
  - Tab 14_Stripe_and_Account_Info (also referenced as Tab 15 in older exports): col 13 (status), col 22 (status_invoice), col 23 (last_payment)
  - Column positions are 0-indexed on the data row (header is row 5, data starts row 6 per reader convention)</t>
  </si>
  <si>
    <t>SCOPE: Tab 41_Product_Issue_Summary — product-level GMC issue data exported from Databricks. This is the best available proxy for policy violations since direct account-level policy violation data is not included in the Databricks export.
PRIMARY CHECK (Tab 41 available):
  Filter rows where IssuesServability = 'demoted'. This servability level indicates Google is actively limiting ad serving for affected products due to policy or data quality issues.
  IssuesServability values and meaning:
    - 'unaffected'  → Issue exists but does not reduce ad serving → informational only
    - 'demoted'     → Issue actively reduces ad serving and impression share → FLAG signal
    - 'disapproved' → Products completely ineligible to serve → strong FLAG signal
  Sum AffectedProducts across all 'demoted' and 'disapproved' rows.
IMPORTANT LIMITATIONS:
  Tab 41 reflects product-level issues, NOT account-level policy violations (e.g., suspended account, limited by policy). Account-level violations require manual verification in Google Ads &gt; Policy Manager.
THRESHOLDS:
  → OK      : 0 issues with IssuesServability = 'demoted' or 'disapproved'
  → PARTIAL : ≥1 issue type with IssuesServability = 'demoted' (serving reduced)
  → FLAG    : ≥1 issue type with IssuesServability = 'disapproved' OR total affected products &gt; 500
  → PARTIAL : Tab 41 not available → manual check required
OUTPUT REQUIRED:
  - Total issue types found (integer, all servability levels)
  - Issue types with 'demoted' servability (count + descriptions)
  - Issue types with 'disapproved' servability (count + descriptions)
  - Total affected products across demoted/disapproved issues (integer)
  - Note: manual Google Ads Policy Manager check always recommended regardless of result
DATA SOURCES:
  - Tab 41_Product_Issue_Summary: IssuesCode, IssuesServability, AffectedProducts, IssueDescription, IssueResolution</t>
  </si>
  <si>
    <t>SCOPE: Tab 43_Product_Health_Summary — direct GMC product health snapshot. This is a single-row summary tab. Evaluated at account level.
PRIMARY CHECK (Tab 43 available):
  Read: TotalProducts, DisapprovedProducts, ApprovedProducts, DisapprovalRate.
  DisapprovalRate is pre-computed. It may be stored as a decimal (0.05 = 5%) or as a percentage (5.0 = 5%).
  Normalize: if DisapprovalRate &gt; 1, divide by 100 to convert to decimal.
FALLBACK CHECK (Tab 43 not available — older export format):
  Use Tab 27_Feed_Products. Read the Availability column.
  Count rows where Availability contains 'out of stock' (case-insensitive).
  Compute: UnavailabilityRate = unavailable_count / total_products.
  Note clearly in output that this is an availability proxy, not a true GMC disapproval count.
DATE CAVEAT: Tab 43 contains StatusSnapshotDate and IssueSnapshotDate. These may be different from the export's evaluation window end date. Record both dates in output for reviewer context.
THRESHOLDS:
  → OK      : DisapprovalRate ≤ 10% (0.10)
  → PARTIAL : DisapprovalRate &gt; 10% and ≤ 20%
  → FLAG    : DisapprovalRate &gt; 20%
  → OK      : DisapprovalRate = 0% (zero disapprovals confirmed)
OUTPUT REQUIRED:
  - Total products (integer)
  - Approved products (integer)
  - Disapproved products (integer)
  - Disapproval rate (percentage, 1 decimal)
  - Snapshot date (from StatusSnapshotDate field)
  - Source: Tab 43 (direct) or Tab 27 (availability proxy)
DATA SOURCES (primary):
  - Tab 43_Product_Health_Summary: TotalProducts, DisapprovedProducts, ApprovedProducts, DisapprovalRate, StatusSnapshotDate
DATA SOURCES (fallback):
  - Tab 27_Feed_Products: Availability (count of 'out of stock' rows)</t>
  </si>
  <si>
    <t>SCOPE: Tab 45_Feed_Duplicate_Groups — Databricks-detected duplicate product feed groups. Account-level check.
CHECK:
  Tab 45 returns either:
    A) Row data → duplicate product groups detected in GMC. Each row represents a product group with conflicting feed sources.
    B) "NO DATA AVAILABLE" → Databricks confirms no duplicate groups detected for this account.
When data is present, read the GroupId (or equivalent grouping key) and count distinct duplicate groups. Each group represents a set of products whose feed data conflicts across multiple feed sources.
COLUMN BEHAVIOR:
  - If a GroupId or DuplicateGroup column exists → count distinct values
  - If only product-level rows (no group key) → count total rows as an estimate of affected products
  - If tab is empty or NO DATA response → treat as clean (no duplicates confirmed)
THRESHOLDS:
  → OK      : Tab 45 is empty or returns NO DATA (Databricks confirms no duplicates)
  → FLAG    : Tab 45 has ≥1 row of data (duplicates detected)
  (No PARTIAL — duplication is present or it isn't)
OUTPUT REQUIRED:
  - Active feed sources result: "NO DUPLICATES DETECTED" or "DUPLICATES FOUND"
  - Count of duplicate product groups (integer, or 0 if NO DATA)
  - Total affected products estimate if available (integer)
  - Note: manual GMC &gt; Data Sources verification always recommended to confirm feed source count
DATA SOURCES:
  - Tab 45_Feed_Duplicate_Groups: all columns (structure may vary by account)
  - Fallback context: Tab 47_Portal_Feed_Monitoring (FeedName field shows distinct feed names active in portal)</t>
  </si>
  <si>
    <t>SCOPE: Tab 47_Portal_Feed_Monitoring — QT Portal feed export monitoring data. Each row represents one feed export job. Multiple rows exist per account (one per feed name × engine combination).
CHECK:
  1. Filter to rows where EngineName = 'Google' (case-insensitive). Only Google-engine feeds are in scope.
  2. Among Google-engine rows, filter to FeedExportStatus = 'On' (active exports).
  3. Among active rows, check FreshPortalFeedFlag:
     - 1 (or True) → feed refreshed within expected window → FRESH
     - 0 (or False) → feed not refreshed → STALE
  4. Also read HoursSinceLastUpdate for each active row. Use the minimum value (most recently updated feed).
  5. Check LastSuccessDate: must be a valid recent date.
  6. Check LastErrorMessage: non-empty error messages on active feeds → downgrade to PARTIAL.
FALLBACK (Tab 47 not available):
  Use Tab 27_Feed_Products. If rows exist → feed was synced at some point (PARTIAL — freshness unknown).
  If Tab 27 is also empty → FLAG.
FRESHNESS THRESHOLD: 48 hours. If HoursSinceLastUpdate &gt; 48 for ALL active Google feeds → FLAG.
THRESHOLDS:
  → OK      : ≥1 active (FeedExportStatus=On) Google feed with FreshPortalFeedFlag=1 AND no error messages
  → PARTIAL : ≥1 active Google feed but all have error messages OR HoursSinceLastUpdate between 24–48h
  → FLAG    : 0 active Google feeds OR all active feeds have HoursSinceLastUpdate &gt; 48h
OUTPUT REQUIRED:
  - Last successful feed export timestamp (LastSuccessDate, most recent across active Google feeds)
  - Feed status: ACTIVE or INACTIVE
  - Active Google feeds count / total Google feeds count (e.g., "4/7")
  - Fresh feeds count (FreshPortalFeedFlag = 1) (integer)
  - Hours since last update (minimum across active feeds, 0 decimal)
  - Last error message if present (first 100 chars)
DATA SOURCES:
  - Tab 47_Portal_Feed_Monitoring: FeedName, EngineName, FeedExportStatus, isEnable, FreshPortalFeedFlag, HoursSinceLastUpdate, LastSuccessDate, LastErrorDate, LastErrorMessage</t>
  </si>
  <si>
    <t>SCOPE: Tab 47_Portal_Feed_Monitoring — same source as I010. This control focuses exclusively on the timestamp freshness dimension of the portal feed.
CHECK:
  1. Filter to Google-engine feeds (EngineName = 'Google') with FeedExportStatus = 'On'.
  2. Read HoursSinceLastUpdate for each qualifying row.
  3. Take the MINIMUM value across all qualifying rows (best-case freshness).
  4. If no qualifying rows exist → use maximum HoursSinceLastUpdate across all Google-engine rows regardless of status.
RELATIONSHIP TO I010:
  I010 evaluates whether the portal feed pipeline is operational (active, not broken).
  I011 evaluates when the last update occurred, regardless of operational status.
  Both can fail independently: a feed can be "Active" but stale, or "Inactive" but recently attempted.
FRESHNESS THRESHOLDS:
  → OK      : HoursSinceLastUpdate ≤ 24h (daily refresh confirmed)
  → PARTIAL : HoursSinceLastUpdate &gt; 24h and ≤ 48h (within tolerance, flag for monitoring)
  → FLAG    : HoursSinceLastUpdate &gt; 48h (feed has not refreshed in over 2 days)
  → PARTIAL : HoursSinceLastUpdate is null/unavailable for all rows → manual check required
OUTPUT REQUIRED:
  - Last portal update in hours (minimum across active Google feeds, 1 decimal)
  - Readable interpretation (e.g., "2.0 hours ago" or "78.3 hours ago")
  - Feed names evaluated (comma-separated, for traceability)
  - Note if some feeds are more stale than the minimum (max hours across same filter)
DATA SOURCES:
  - Tab 47_Portal_Feed_Monitoring: EngineName, FeedExportStatus, HoursSinceLastUpdate, LastSuccessDate, FeedName</t>
  </si>
  <si>
    <t>SCOPE: Tab 14_Stripe_and_Account_Info — the single account row. Evaluated at account level.
CHECK:
  Read IsConnect field (col 8, 0-indexed). This boolean flag indicates whether the client's e-commerce platform (Shopify, WooCommerce, BigCommerce, etc.) has been connected to the Quartile Portal, enabling total sales tracking.
  IsConnect field values:
    - TRUE  (or '1', 'yes', 'true') → Platform connected → OK
    - FALSE (or '0', 'no', 'false') → Platform NOT connected → FLAG
PLATFORM TYPE (informational only, not scored):
  Read Channel or Platform field if available in Tab 14. Include in output for context.
  If absent, report as "not specified."
TACoS IMPLICATION: Without platform connection, Quartile cannot track organic sales, total revenue, or compute TACoS. Full-funnel reporting is unavailable for this account.
THRESHOLDS:
  → OK      : IsConnect = TRUE
  → FLAG    : IsConnect = FALSE
  → PARTIAL : IsConnect field not found in Tab 14 → manual verification required
  → PARTIAL : Tab 14 not found → manual verification required
OUTPUT REQUIRED:
  - Platform connection status (CONNECTED / NOT CONNECTED / UNKNOWN)
  - Platform type (if detectable from Channel field, or "not specified")
  - IsConnect raw value (for traceability)
  - Note: if FLAG, recommend reconnecting platform via QT Portal &gt; Settings &gt; Connected Channels
DATA SOURCES:
  - Tab 14_Stripe_and_Account_Info (also referenced as Tab 15 in older exports): IsConnect (col 8), optional Channel/Platform field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</si>
  <si>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</si>
  <si>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</si>
  <si>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</si>
  <si>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</si>
  <si>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</si>
  <si>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</si>
  <si>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</si>
  <si>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75–100 = Healthy</t>
  </si>
  <si>
    <t>Critical</t>
  </si>
  <si>
    <t>Healthy</t>
  </si>
  <si>
    <t>The account demonstrates stable growth, controlled efficiency, and manageable risk exposure. Current trajectory supports continued scaling.</t>
  </si>
  <si>
    <t>Final Score</t>
  </si>
  <si>
    <t>40–&lt;75 = Needs Attention</t>
  </si>
  <si>
    <t>High</t>
  </si>
  <si>
    <t>Needs Attention</t>
  </si>
  <si>
    <t>Performance gaps or efficiency pressures are emerging that may constrain scalability. Focused corrective action is recommended.</t>
  </si>
  <si>
    <t>&lt;40 = At Risk</t>
  </si>
  <si>
    <t>At Risk</t>
  </si>
  <si>
    <t>Structural performance deterioration or elevated risk indicators threaten business stability. Immediate intervention is required to restore trajectory.</t>
  </si>
  <si>
    <t>Partial weighting</t>
  </si>
  <si>
    <t>PARTIAL uses 50% of Priority</t>
  </si>
  <si>
    <t>Medium</t>
  </si>
  <si>
    <t>Low</t>
  </si>
  <si>
    <t>Visibility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</si>
</sst>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FFFF"/>
      <name val="Calibri"/>
    </font>
    <font>
      <b/>
      <sz val="11"/>
      <color rgb="FF1E3A5F"/>
      <name val="Calibri"/>
    </font>
    <font>
      <sz val="9"/>
      <color rgb="FF5A7A8A"/>
      <name val="Calibri"/>
    </font>
    <font>
      <b/>
      <sz val="10"/>
      <color rgb="FF1E3A5F"/>
      <name val="Calibri"/>
    </font>
    <font>
      <sz val="9"/>
      <color rgb="FF1A1A2E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rgb="FF1E3A5F"/>
      </patternFill>
    </fill>
    <fill>
      <patternFill patternType="solid">
        <fgColor rgb="FFEBF3FF"/>
      </patternFill>
    </fill>
    <fill>
      <patternFill patternType="solid">
        <fgColor rgb="FFFAFCFF"/>
      </patternFill>
    </fill>
    <fill>
      <patternFill patternType="solid">
        <fgColor rgb="FFEBF9F1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10" fillId="2" borderId="12" xfId="0" applyFont="1" applyFill="1" applyBorder="1" applyAlignment="1">
      <alignment horizontal="center" vertical="center" wrapText="1"/>
    </xf>
    <xf numFmtId="0" fontId="12" fillId="0" borderId="0" xfId="0" applyFont="1"/>
    <xf numFmtId="0" fontId="5" fillId="2" borderId="14" xfId="0" applyFont="1" applyFill="1" applyBorder="1" applyAlignment="1">
      <alignment horizontal="center" vertical="center" wrapText="1"/>
    </xf>
    <xf numFmtId="22" fontId="0" fillId="5" borderId="0" xfId="0" applyNumberFormat="1" applyFill="1" applyAlignment="1">
      <alignment horizontal="left"/>
    </xf>
    <xf numFmtId="0" fontId="13" fillId="0" borderId="2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15" fillId="9" borderId="0" xfId="0" applyFont="1" applyFill="1" applyAlignment="1">
      <alignment horizontal="center" vertical="top"/>
    </xf>
    <xf numFmtId="0" fontId="16" fillId="9" borderId="0" xfId="0" applyFont="1" applyFill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18" fillId="10" borderId="0" xfId="0" applyFont="1" applyFill="1" applyAlignment="1">
      <alignment horizontal="left" vertical="top" wrapText="1"/>
    </xf>
    <xf numFmtId="0" fontId="15" fillId="11" borderId="0" xfId="0" applyFont="1" applyFill="1" applyAlignment="1">
      <alignment horizontal="center" vertical="top"/>
    </xf>
    <xf numFmtId="0" fontId="16" fillId="11" borderId="0" xfId="0" applyFont="1" applyFill="1" applyAlignment="1">
      <alignment horizontal="left" vertical="top" wrapText="1"/>
    </xf>
    <xf numFmtId="0" fontId="17" fillId="11" borderId="0" xfId="0" applyFont="1" applyFill="1" applyAlignment="1">
      <alignment horizontal="left" vertical="top" wrapText="1"/>
    </xf>
    <xf numFmtId="0" fontId="1" fillId="7" borderId="16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5" xfId="0" applyBorder="1"/>
    <xf numFmtId="0" fontId="9" fillId="5" borderId="16" xfId="0" applyFont="1" applyFill="1" applyBorder="1" applyAlignment="1">
      <alignment horizontal="center" vertical="top" wrapText="1"/>
    </xf>
    <xf numFmtId="0" fontId="2" fillId="5" borderId="0" xfId="0" applyFont="1" applyFill="1"/>
    <xf numFmtId="0" fontId="0" fillId="0" borderId="0" xfId="0"/>
    <xf numFmtId="0" fontId="1" fillId="5" borderId="16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left" vertical="top" wrapText="1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top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rgb="FF000000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" displayName="Table13" ref="A1:O13" totalsRowShown="0" headerRowDxfId="26" dataDxfId="25" tableBorderDxfId="24">
  <autoFilter ref="A1:O13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00000000-0010-0000-0000-00000F000000}" name="What You Should Do " dataDxfId="14"/>
    <tableColumn id="8" xr3:uid="{00000000-0010-0000-0000-000008000000}" name="Data Source" dataDxfId="13"/>
    <tableColumn id="9" xr3:uid="{00000000-0010-0000-0000-000009000000}" name="Impact" dataDxfId="12">
      <calculatedColumnFormula>VLOOKUP(Table13[[#This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5"/>
  <sheetViews>
    <sheetView tabSelected="1" zoomScale="70" zoomScaleNormal="70" workbookViewId="0">
      <pane ySplit="8" topLeftCell="A9" activePane="bottomLeft" state="frozen"/>
      <selection pane="bottomLeft" activeCell="E16" sqref="E16"/>
    </sheetView>
  </sheetViews>
  <sheetFormatPr defaultRowHeight="14.4" x14ac:dyDescent="0.3"/>
  <cols>
    <col min="1" max="1" width="30.77734375" customWidth="1"/>
    <col min="2" max="2" width="27.5546875" customWidth="1"/>
    <col min="3" max="3" width="38.21875" customWidth="1"/>
    <col min="4" max="4" width="52" style="21" customWidth="1"/>
    <col min="5" max="6" width="50.21875" style="21" customWidth="1"/>
    <col min="7" max="7" width="34.44140625" customWidth="1"/>
    <col min="8" max="8" width="21.5546875" style="15" bestFit="1" customWidth="1"/>
    <col min="9" max="9" width="26.21875" style="15" bestFit="1" customWidth="1"/>
    <col min="10" max="10" width="19.6640625" style="15" bestFit="1" customWidth="1"/>
    <col min="11" max="11" width="19.44140625" style="15" bestFit="1" customWidth="1"/>
    <col min="12" max="12" width="21.88671875" style="15" bestFit="1" customWidth="1"/>
    <col min="13" max="13" width="25" style="15" bestFit="1" customWidth="1"/>
    <col min="14" max="14" width="25.6640625" style="15" bestFit="1" customWidth="1"/>
    <col min="15" max="15" width="28.44140625" style="15" bestFit="1" customWidth="1"/>
    <col min="16" max="16" width="27.6640625" style="15" bestFit="1" customWidth="1"/>
    <col min="17" max="17" width="22.33203125" style="15" bestFit="1" customWidth="1"/>
    <col min="18" max="18" width="16.88671875" style="15" bestFit="1" customWidth="1"/>
    <col min="19" max="19" width="10.6640625" style="15" bestFit="1" customWidth="1"/>
    <col min="20" max="20" width="26.6640625" style="15" bestFit="1" customWidth="1"/>
    <col min="21" max="21" width="27.6640625" style="15" bestFit="1" customWidth="1"/>
    <col min="22" max="22" width="18.88671875" style="15" bestFit="1" customWidth="1"/>
    <col min="23" max="23" width="20" style="15" bestFit="1" customWidth="1"/>
    <col min="24" max="24" width="14.44140625" style="15" bestFit="1" customWidth="1"/>
    <col min="25" max="25" width="19.44140625" style="15" bestFit="1" customWidth="1"/>
    <col min="26" max="26" width="12.77734375" style="15" bestFit="1" customWidth="1"/>
    <col min="27" max="27" width="30.44140625" style="15" bestFit="1" customWidth="1"/>
    <col min="28" max="28" width="24.88671875" style="15" bestFit="1" customWidth="1"/>
    <col min="29" max="29" width="20.44140625" style="15" bestFit="1" customWidth="1"/>
    <col min="30" max="30" width="16.109375" style="15" bestFit="1" customWidth="1"/>
    <col min="31" max="31" width="21.5546875" style="15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6" t="s">
        <v>126</v>
      </c>
      <c r="B1" s="47"/>
      <c r="C1" s="47"/>
      <c r="D1" s="47"/>
      <c r="E1" s="47"/>
      <c r="F1" s="47"/>
      <c r="G1" s="48"/>
    </row>
    <row r="2" spans="1:7" x14ac:dyDescent="0.3">
      <c r="A2" s="24" t="s">
        <v>127</v>
      </c>
      <c r="B2" s="15" t="s">
        <v>128</v>
      </c>
      <c r="C2" s="15"/>
      <c r="D2" s="53"/>
      <c r="E2" s="54"/>
      <c r="F2" s="54"/>
      <c r="G2" s="51"/>
    </row>
    <row r="3" spans="1:7" x14ac:dyDescent="0.3">
      <c r="A3" s="23" t="s">
        <v>129</v>
      </c>
      <c r="B3" t="s">
        <v>130</v>
      </c>
      <c r="D3" s="22"/>
      <c r="E3" s="15"/>
      <c r="F3" s="15"/>
      <c r="G3" s="15"/>
    </row>
    <row r="4" spans="1:7" x14ac:dyDescent="0.3">
      <c r="A4" s="24" t="s">
        <v>131</v>
      </c>
      <c r="B4" s="15" t="s">
        <v>132</v>
      </c>
      <c r="C4" s="15"/>
      <c r="D4" s="53"/>
      <c r="E4" s="54"/>
      <c r="F4" s="54"/>
      <c r="G4" s="51"/>
    </row>
    <row r="5" spans="1:7" x14ac:dyDescent="0.3">
      <c r="A5" s="24" t="s">
        <v>133</v>
      </c>
      <c r="B5" s="35">
        <v>46083.684884259259</v>
      </c>
      <c r="C5" s="15"/>
      <c r="D5" s="22"/>
      <c r="E5" s="15"/>
      <c r="F5" s="15"/>
      <c r="G5" s="15"/>
    </row>
    <row r="6" spans="1:7" ht="15" customHeight="1" thickBot="1" x14ac:dyDescent="0.35">
      <c r="A6" s="15"/>
      <c r="B6" s="15"/>
      <c r="C6" s="15"/>
      <c r="D6" s="20"/>
      <c r="E6" s="20"/>
      <c r="F6" s="20"/>
      <c r="G6" s="15"/>
    </row>
    <row r="7" spans="1:7" ht="21" customHeight="1" thickBot="1" x14ac:dyDescent="0.35">
      <c r="A7" s="50" t="s">
        <v>134</v>
      </c>
      <c r="B7" s="51"/>
      <c r="C7" s="51"/>
      <c r="D7" s="52" t="str">
        <f>'Logic and Calculation'!B5</f>
        <v>Healthy</v>
      </c>
      <c r="E7" s="47"/>
      <c r="F7" s="47"/>
      <c r="G7" s="48"/>
    </row>
    <row r="8" spans="1:7" ht="18" customHeight="1" thickBot="1" x14ac:dyDescent="0.35">
      <c r="A8" s="50" t="s">
        <v>135</v>
      </c>
      <c r="B8" s="51"/>
      <c r="C8" s="51"/>
      <c r="D8" s="49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47"/>
      <c r="F8" s="47"/>
      <c r="G8" s="48"/>
    </row>
    <row r="9" spans="1:7" ht="18" customHeight="1" x14ac:dyDescent="0.3">
      <c r="A9" s="15"/>
      <c r="B9" s="15"/>
      <c r="C9" s="15"/>
      <c r="D9" s="20"/>
      <c r="E9" s="20"/>
      <c r="F9" s="20"/>
      <c r="G9" s="15"/>
    </row>
    <row r="10" spans="1:7" x14ac:dyDescent="0.3">
      <c r="A10" s="55" t="s">
        <v>136</v>
      </c>
      <c r="B10" s="51"/>
      <c r="C10" s="51"/>
      <c r="D10" s="54"/>
      <c r="E10" s="54"/>
      <c r="F10" s="54"/>
      <c r="G10" s="51"/>
    </row>
    <row r="11" spans="1:7" ht="19.95" customHeight="1" x14ac:dyDescent="0.3">
      <c r="A11" s="1" t="s">
        <v>1</v>
      </c>
      <c r="B11" s="1" t="s">
        <v>2</v>
      </c>
      <c r="C11" s="1" t="s">
        <v>137</v>
      </c>
      <c r="D11" s="1" t="s">
        <v>7</v>
      </c>
      <c r="E11" s="1" t="s">
        <v>8</v>
      </c>
      <c r="F11" s="1" t="s">
        <v>9</v>
      </c>
      <c r="G11" s="1" t="s">
        <v>11</v>
      </c>
    </row>
    <row r="12" spans="1:7" ht="44.4" customHeight="1" x14ac:dyDescent="0.3">
      <c r="A12" s="16" t="str" cm="1">
        <f t="array" ref="A12">_xlfn.LET(
  _xlpm.id,     'Account Implement_Reference'!B2:B13,
  _xlpm.name,   'Account Implement_Reference'!C2:C13,
  _xlpm.st,     'Account Implement_Reference'!D2:D13,
  _xlpm.saw,    'Account Implement_Reference'!H2:H13,
  _xlpm.matter, 'Account Implement_Reference'!I2:I13,
  _xlpm.wysd,   'Account Implement_Reference'!J2:J13,
  _xlpm.impact, 'Account Implement_Reference'!L2:L13,
  _xlpm.data,   _xlfn.HSTACK(_xlpm.id, _xlpm.name, _xlpm.st, _xlpm.saw, _xlpm.matter, _xlpm.wysd, _xlpm.impact),
  _xlfn._xlws.FILTER(_xlpm.data, _xlpm.st&lt;&gt;"OK", "No findings — all controls OK")
)</f>
        <v>No findings — all controls OK</v>
      </c>
      <c r="B12" s="16"/>
      <c r="C12" s="17"/>
      <c r="D12" s="18"/>
      <c r="E12" s="18"/>
      <c r="F12" s="18"/>
      <c r="G12" s="16"/>
    </row>
    <row r="13" spans="1:7" ht="44.4" customHeight="1" x14ac:dyDescent="0.3">
      <c r="A13" s="16"/>
      <c r="B13" s="16"/>
      <c r="C13" s="14"/>
      <c r="D13" s="18"/>
      <c r="E13" s="18"/>
      <c r="F13" s="18"/>
      <c r="G13" s="16"/>
    </row>
    <row r="14" spans="1:7" ht="44.4" customHeight="1" x14ac:dyDescent="0.3">
      <c r="A14" s="16"/>
      <c r="B14" s="16"/>
      <c r="C14" s="14"/>
      <c r="D14" s="18"/>
      <c r="E14" s="18"/>
      <c r="F14" s="18"/>
      <c r="G14" s="16"/>
    </row>
    <row r="15" spans="1:7" ht="44.4" customHeight="1" x14ac:dyDescent="0.3">
      <c r="A15" s="16"/>
      <c r="B15" s="16"/>
      <c r="C15" s="14"/>
      <c r="D15" s="18"/>
      <c r="E15" s="18"/>
      <c r="F15" s="18"/>
      <c r="G15" s="16"/>
    </row>
    <row r="16" spans="1:7" ht="44.4" customHeight="1" x14ac:dyDescent="0.3">
      <c r="A16" s="16"/>
      <c r="B16" s="16"/>
      <c r="C16" s="14"/>
      <c r="D16" s="18"/>
      <c r="E16" s="18"/>
      <c r="F16" s="18"/>
      <c r="G16" s="16"/>
    </row>
    <row r="17" spans="1:7" ht="44.4" customHeight="1" x14ac:dyDescent="0.3">
      <c r="A17" s="16"/>
      <c r="B17" s="16"/>
      <c r="C17" s="14"/>
      <c r="D17" s="18"/>
      <c r="E17" s="18"/>
      <c r="F17" s="18"/>
      <c r="G17" s="16"/>
    </row>
    <row r="18" spans="1:7" ht="44.4" customHeight="1" x14ac:dyDescent="0.3">
      <c r="A18" s="16"/>
      <c r="B18" s="16"/>
      <c r="C18" s="14"/>
      <c r="D18" s="18"/>
      <c r="E18" s="18"/>
      <c r="F18" s="18"/>
      <c r="G18" s="16"/>
    </row>
    <row r="19" spans="1:7" ht="44.4" customHeight="1" x14ac:dyDescent="0.3">
      <c r="A19" s="16"/>
      <c r="B19" s="16"/>
      <c r="C19" s="14"/>
      <c r="D19" s="18"/>
      <c r="E19" s="18"/>
      <c r="F19" s="18"/>
      <c r="G19" s="16"/>
    </row>
    <row r="20" spans="1:7" ht="44.4" customHeight="1" x14ac:dyDescent="0.3">
      <c r="A20" s="16"/>
      <c r="B20" s="16"/>
      <c r="C20" s="14"/>
      <c r="D20" s="18"/>
      <c r="E20" s="18"/>
      <c r="F20" s="18"/>
      <c r="G20" s="16"/>
    </row>
    <row r="21" spans="1:7" ht="44.4" customHeight="1" x14ac:dyDescent="0.3">
      <c r="A21" s="16"/>
      <c r="B21" s="16"/>
      <c r="C21" s="14"/>
      <c r="D21" s="18"/>
      <c r="E21" s="18"/>
      <c r="F21" s="18"/>
      <c r="G21" s="16"/>
    </row>
    <row r="22" spans="1:7" ht="44.4" customHeight="1" x14ac:dyDescent="0.3">
      <c r="A22" s="16"/>
      <c r="B22" s="16"/>
      <c r="C22" s="14"/>
      <c r="D22" s="18"/>
      <c r="E22" s="18"/>
      <c r="F22" s="18"/>
      <c r="G22" s="16"/>
    </row>
    <row r="23" spans="1:7" ht="44.4" customHeight="1" x14ac:dyDescent="0.3">
      <c r="A23" s="16"/>
      <c r="B23" s="16"/>
      <c r="C23" s="14"/>
      <c r="D23" s="18"/>
      <c r="E23" s="18"/>
      <c r="F23" s="18"/>
      <c r="G23" s="16"/>
    </row>
    <row r="24" spans="1:7" ht="44.4" customHeight="1" x14ac:dyDescent="0.3">
      <c r="A24" s="16"/>
      <c r="B24" s="16"/>
      <c r="C24" s="14"/>
      <c r="D24" s="18"/>
      <c r="E24" s="18"/>
      <c r="F24" s="18"/>
      <c r="G24" s="16"/>
    </row>
    <row r="25" spans="1:7" ht="44.4" customHeight="1" x14ac:dyDescent="0.3">
      <c r="A25" s="16"/>
      <c r="B25" s="16"/>
      <c r="C25" s="14"/>
      <c r="D25" s="18"/>
      <c r="E25" s="18"/>
      <c r="F25" s="18"/>
      <c r="G25" s="16"/>
    </row>
    <row r="26" spans="1:7" ht="44.4" customHeight="1" x14ac:dyDescent="0.3">
      <c r="A26" s="15"/>
      <c r="B26" s="15"/>
      <c r="C26" s="14"/>
      <c r="D26" s="20"/>
      <c r="E26" s="20"/>
      <c r="F26" s="20"/>
      <c r="G26" s="15"/>
    </row>
    <row r="27" spans="1:7" ht="44.4" customHeight="1" x14ac:dyDescent="0.3">
      <c r="A27" s="15"/>
      <c r="B27" s="15"/>
      <c r="C27" s="14"/>
      <c r="D27" s="20"/>
      <c r="E27" s="20"/>
      <c r="F27" s="20"/>
      <c r="G27" s="15"/>
    </row>
    <row r="28" spans="1:7" ht="44.4" customHeight="1" x14ac:dyDescent="0.3">
      <c r="A28" s="15"/>
      <c r="B28" s="15"/>
      <c r="C28" s="14"/>
      <c r="D28" s="20"/>
      <c r="E28" s="20"/>
      <c r="F28" s="20"/>
      <c r="G28" s="15"/>
    </row>
    <row r="29" spans="1:7" ht="44.4" customHeight="1" x14ac:dyDescent="0.3">
      <c r="A29" s="15"/>
      <c r="B29" s="15"/>
      <c r="C29" s="14"/>
      <c r="D29" s="20"/>
      <c r="E29" s="20"/>
      <c r="F29" s="20"/>
      <c r="G29" s="15"/>
    </row>
    <row r="30" spans="1:7" ht="44.4" customHeight="1" x14ac:dyDescent="0.3">
      <c r="A30" s="15"/>
      <c r="B30" s="15"/>
      <c r="C30" s="14"/>
      <c r="D30" s="20"/>
      <c r="E30" s="20"/>
      <c r="F30" s="20"/>
      <c r="G30" s="15"/>
    </row>
    <row r="31" spans="1:7" ht="44.4" customHeight="1" x14ac:dyDescent="0.3">
      <c r="C31" s="14"/>
    </row>
    <row r="32" spans="1:7" ht="44.4" customHeight="1" x14ac:dyDescent="0.3">
      <c r="C32" s="14"/>
    </row>
    <row r="33" spans="3:3" ht="44.4" customHeight="1" x14ac:dyDescent="0.3">
      <c r="C33" s="14"/>
    </row>
    <row r="34" spans="3:3" ht="44.4" customHeight="1" x14ac:dyDescent="0.3">
      <c r="C34" s="14"/>
    </row>
    <row r="35" spans="3:3" ht="44.4" customHeight="1" x14ac:dyDescent="0.3">
      <c r="C35" s="14"/>
    </row>
  </sheetData>
  <mergeCells count="8">
    <mergeCell ref="A10:G10"/>
    <mergeCell ref="D4:G4"/>
    <mergeCell ref="A1:G1"/>
    <mergeCell ref="D8:G8"/>
    <mergeCell ref="A8:C8"/>
    <mergeCell ref="D7:G7"/>
    <mergeCell ref="A7:C7"/>
    <mergeCell ref="D2:G2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3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48.44140625" style="26" bestFit="1" customWidth="1"/>
    <col min="6" max="6" width="55.6640625" style="21" bestFit="1" customWidth="1"/>
    <col min="7" max="7" width="42" style="21" customWidth="1"/>
    <col min="8" max="8" width="24" style="21" customWidth="1"/>
    <col min="9" max="9" width="35.6640625" style="21" customWidth="1"/>
    <col min="10" max="10" width="42.88671875" style="21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0</v>
      </c>
      <c r="B1" s="27" t="s">
        <v>1</v>
      </c>
      <c r="C1" s="28" t="s">
        <v>2</v>
      </c>
      <c r="D1" s="28" t="s">
        <v>3</v>
      </c>
      <c r="E1" s="32" t="s">
        <v>4</v>
      </c>
      <c r="F1" s="28" t="s">
        <v>5</v>
      </c>
      <c r="G1" s="37" t="s">
        <v>6</v>
      </c>
      <c r="H1" s="29" t="s">
        <v>7</v>
      </c>
      <c r="I1" s="29" t="s">
        <v>8</v>
      </c>
      <c r="J1" s="34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10" t="s">
        <v>14</v>
      </c>
    </row>
    <row r="2" spans="1:15" ht="36" customHeight="1" x14ac:dyDescent="0.3">
      <c r="A2" s="4" t="s">
        <v>15</v>
      </c>
      <c r="B2" s="4" t="s">
        <v>16</v>
      </c>
      <c r="C2" s="4" t="s">
        <v>17</v>
      </c>
      <c r="D2" s="4" t="s">
        <v>18</v>
      </c>
      <c r="E2" s="25" t="s">
        <v>19</v>
      </c>
      <c r="F2" s="3" t="s">
        <v>20</v>
      </c>
      <c r="G2" s="3" t="s">
        <v>21</v>
      </c>
      <c r="H2" s="3" t="s">
        <v>22</v>
      </c>
      <c r="I2" s="3" t="s">
        <v>23</v>
      </c>
      <c r="J2" s="7" t="s">
        <v>24</v>
      </c>
      <c r="K2" s="7" t="s">
        <v>25</v>
      </c>
      <c r="L2" s="6" t="str">
        <f>VLOOKUP(Table13[[#This Row],[Importance]],'Logic and Calculation'!$H$3:$J$12,3,FALSE)</f>
        <v>Medium</v>
      </c>
      <c r="M2" s="6">
        <v>5</v>
      </c>
      <c r="N2" s="4">
        <f>VLOOKUP(Table13[[#This Row],[Importance]],'Logic and Calculation'!$H$3:$J$12,2,FALSE)</f>
        <v>-15</v>
      </c>
      <c r="O2" s="11"/>
    </row>
    <row r="3" spans="1:15" ht="36" customHeight="1" x14ac:dyDescent="0.3">
      <c r="A3" s="4" t="s">
        <v>15</v>
      </c>
      <c r="B3" s="4" t="s">
        <v>26</v>
      </c>
      <c r="C3" s="4" t="s">
        <v>27</v>
      </c>
      <c r="D3" s="4" t="s">
        <v>18</v>
      </c>
      <c r="E3" s="30" t="s">
        <v>28</v>
      </c>
      <c r="F3" s="3" t="s">
        <v>29</v>
      </c>
      <c r="G3" s="3" t="s">
        <v>30</v>
      </c>
      <c r="H3" s="3" t="s">
        <v>31</v>
      </c>
      <c r="I3" s="3" t="s">
        <v>32</v>
      </c>
      <c r="J3" s="7" t="s">
        <v>33</v>
      </c>
      <c r="K3" s="3" t="s">
        <v>34</v>
      </c>
      <c r="L3" s="6" t="str">
        <f>VLOOKUP(Table13[[#This Row],[Importance]],'Logic and Calculation'!$H$3:$J$12,3,FALSE)</f>
        <v>High</v>
      </c>
      <c r="M3" s="4">
        <v>8</v>
      </c>
      <c r="N3" s="4">
        <f>VLOOKUP(Table13[[#This Row],[Importance]],'Logic and Calculation'!$H$3:$J$12,2,FALSE)</f>
        <v>-24</v>
      </c>
      <c r="O3" s="12"/>
    </row>
    <row r="4" spans="1:15" ht="36" customHeight="1" x14ac:dyDescent="0.3">
      <c r="A4" s="4" t="s">
        <v>15</v>
      </c>
      <c r="B4" s="4" t="s">
        <v>35</v>
      </c>
      <c r="C4" s="4" t="s">
        <v>36</v>
      </c>
      <c r="D4" s="4" t="s">
        <v>18</v>
      </c>
      <c r="E4" s="30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</v>
      </c>
      <c r="K4" s="3" t="s">
        <v>43</v>
      </c>
      <c r="L4" s="6" t="str">
        <f>VLOOKUP(Table13[[#This Row],[Importance]],'Logic and Calculation'!$H$3:$J$12,3,FALSE)</f>
        <v>Critical</v>
      </c>
      <c r="M4" s="4">
        <v>10</v>
      </c>
      <c r="N4" s="4">
        <f>VLOOKUP(Table13[[#This Row],[Importance]],'Logic and Calculation'!$H$3:$J$12,2,FALSE)</f>
        <v>-30</v>
      </c>
      <c r="O4" s="12"/>
    </row>
    <row r="5" spans="1:15" ht="36" customHeight="1" x14ac:dyDescent="0.3">
      <c r="A5" s="4" t="s">
        <v>15</v>
      </c>
      <c r="B5" s="4" t="s">
        <v>44</v>
      </c>
      <c r="C5" s="4" t="s">
        <v>45</v>
      </c>
      <c r="D5" s="4" t="s">
        <v>18</v>
      </c>
      <c r="E5" s="36" t="s">
        <v>46</v>
      </c>
      <c r="F5" s="3" t="s">
        <v>47</v>
      </c>
      <c r="G5" s="3" t="s">
        <v>48</v>
      </c>
      <c r="H5" s="3" t="s">
        <v>49</v>
      </c>
      <c r="I5" s="3" t="s">
        <v>50</v>
      </c>
      <c r="J5" s="31" t="s">
        <v>51</v>
      </c>
      <c r="K5" s="3" t="s">
        <v>52</v>
      </c>
      <c r="L5" s="4" t="str">
        <f>VLOOKUP(Table13[[#This Row],[Importance]],'Logic and Calculation'!$H$3:$J$12,3,FALSE)</f>
        <v>Medium</v>
      </c>
      <c r="M5" s="4">
        <v>5</v>
      </c>
      <c r="N5" s="4">
        <f>VLOOKUP(Table13[[#This Row],[Importance]],'Logic and Calculation'!$H$3:$J$12,2,FALSE)</f>
        <v>-15</v>
      </c>
      <c r="O5" s="12"/>
    </row>
    <row r="6" spans="1:15" ht="36" customHeight="1" x14ac:dyDescent="0.3">
      <c r="A6" s="4" t="s">
        <v>15</v>
      </c>
      <c r="B6" s="4" t="s">
        <v>53</v>
      </c>
      <c r="C6" s="4" t="s">
        <v>54</v>
      </c>
      <c r="D6" s="4" t="s">
        <v>18</v>
      </c>
      <c r="E6" s="36" t="s">
        <v>55</v>
      </c>
      <c r="F6" s="3" t="s">
        <v>56</v>
      </c>
      <c r="G6" s="3" t="s">
        <v>57</v>
      </c>
      <c r="H6" s="3" t="s">
        <v>58</v>
      </c>
      <c r="I6" s="3" t="s">
        <v>59</v>
      </c>
      <c r="J6" s="31" t="s">
        <v>60</v>
      </c>
      <c r="K6" s="3" t="s">
        <v>61</v>
      </c>
      <c r="L6" s="4" t="str">
        <f>VLOOKUP(Table13[[#This Row],[Importance]],'Logic and Calculation'!$H$3:$J$12,3,FALSE)</f>
        <v>Medium</v>
      </c>
      <c r="M6" s="4">
        <v>5</v>
      </c>
      <c r="N6" s="4">
        <f>VLOOKUP(Table13[[#This Row],[Importance]],'Logic and Calculation'!$H$3:$J$12,2,FALSE)</f>
        <v>-15</v>
      </c>
      <c r="O6" s="12"/>
    </row>
    <row r="7" spans="1:15" ht="48" customHeight="1" x14ac:dyDescent="0.3">
      <c r="A7" s="4" t="s">
        <v>15</v>
      </c>
      <c r="B7" s="4" t="s">
        <v>62</v>
      </c>
      <c r="C7" s="4" t="s">
        <v>63</v>
      </c>
      <c r="D7" s="4" t="s">
        <v>18</v>
      </c>
      <c r="E7" s="30" t="s">
        <v>64</v>
      </c>
      <c r="F7" s="3" t="s">
        <v>65</v>
      </c>
      <c r="G7" s="3" t="s">
        <v>66</v>
      </c>
      <c r="H7" s="3" t="s">
        <v>67</v>
      </c>
      <c r="I7" s="3" t="s">
        <v>68</v>
      </c>
      <c r="J7" s="3" t="s">
        <v>69</v>
      </c>
      <c r="K7" s="3" t="s">
        <v>70</v>
      </c>
      <c r="L7" s="6" t="str">
        <f>VLOOKUP(Table13[[#This Row],[Importance]],'Logic and Calculation'!$H$3:$J$12,3,FALSE)</f>
        <v>Medium</v>
      </c>
      <c r="M7" s="4">
        <v>5</v>
      </c>
      <c r="N7" s="4">
        <f>VLOOKUP(Table13[[#This Row],[Importance]],'Logic and Calculation'!$H$3:$J$12,2,FALSE)</f>
        <v>-15</v>
      </c>
      <c r="O7" s="12"/>
    </row>
    <row r="8" spans="1:15" ht="36" customHeight="1" x14ac:dyDescent="0.3">
      <c r="A8" s="4" t="s">
        <v>15</v>
      </c>
      <c r="B8" s="4" t="s">
        <v>71</v>
      </c>
      <c r="C8" s="4" t="s">
        <v>72</v>
      </c>
      <c r="D8" s="4" t="s">
        <v>18</v>
      </c>
      <c r="E8" s="30" t="s">
        <v>73</v>
      </c>
      <c r="F8" s="3" t="s">
        <v>74</v>
      </c>
      <c r="G8" s="3" t="s">
        <v>75</v>
      </c>
      <c r="H8" s="3" t="s">
        <v>76</v>
      </c>
      <c r="I8" s="3" t="s">
        <v>77</v>
      </c>
      <c r="J8" s="3" t="s">
        <v>78</v>
      </c>
      <c r="K8" s="3" t="s">
        <v>79</v>
      </c>
      <c r="L8" s="6" t="str">
        <f>VLOOKUP(Table13[[#This Row],[Importance]],'Logic and Calculation'!$H$3:$J$12,3,FALSE)</f>
        <v>Critical</v>
      </c>
      <c r="M8" s="4">
        <v>10</v>
      </c>
      <c r="N8" s="4">
        <f>VLOOKUP(Table13[[#This Row],[Importance]],'Logic and Calculation'!$H$3:$J$12,2,FALSE)</f>
        <v>-30</v>
      </c>
      <c r="O8" s="12"/>
    </row>
    <row r="9" spans="1:15" ht="48" customHeight="1" x14ac:dyDescent="0.3">
      <c r="A9" s="4" t="s">
        <v>15</v>
      </c>
      <c r="B9" s="4" t="s">
        <v>80</v>
      </c>
      <c r="C9" s="4" t="s">
        <v>81</v>
      </c>
      <c r="D9" s="4" t="s">
        <v>18</v>
      </c>
      <c r="E9" s="30" t="s">
        <v>82</v>
      </c>
      <c r="F9" s="3" t="s">
        <v>83</v>
      </c>
      <c r="G9" s="3" t="s">
        <v>84</v>
      </c>
      <c r="H9" s="3" t="s">
        <v>85</v>
      </c>
      <c r="I9" s="3" t="s">
        <v>86</v>
      </c>
      <c r="J9" s="3" t="s">
        <v>87</v>
      </c>
      <c r="K9" s="3" t="s">
        <v>88</v>
      </c>
      <c r="L9" s="6" t="str">
        <f>VLOOKUP(Table13[[#This Row],[Importance]],'Logic and Calculation'!$H$3:$J$12,3,FALSE)</f>
        <v>Critical</v>
      </c>
      <c r="M9" s="4">
        <v>10</v>
      </c>
      <c r="N9" s="4">
        <f>VLOOKUP(Table13[[#This Row],[Importance]],'Logic and Calculation'!$H$3:$J$12,2,FALSE)</f>
        <v>-30</v>
      </c>
      <c r="O9" s="12"/>
    </row>
    <row r="10" spans="1:15" ht="36" customHeight="1" x14ac:dyDescent="0.3">
      <c r="A10" s="4" t="s">
        <v>89</v>
      </c>
      <c r="B10" s="4" t="s">
        <v>90</v>
      </c>
      <c r="C10" s="4" t="s">
        <v>91</v>
      </c>
      <c r="D10" s="4" t="s">
        <v>18</v>
      </c>
      <c r="E10" s="30" t="s">
        <v>92</v>
      </c>
      <c r="F10" s="3" t="s">
        <v>93</v>
      </c>
      <c r="G10" s="3" t="s">
        <v>94</v>
      </c>
      <c r="H10" s="3" t="s">
        <v>95</v>
      </c>
      <c r="I10" s="3" t="s">
        <v>96</v>
      </c>
      <c r="J10" s="3" t="s">
        <v>97</v>
      </c>
      <c r="K10" s="3" t="s">
        <v>98</v>
      </c>
      <c r="L10" s="6" t="str">
        <f>VLOOKUP(Table13[[#This Row],[Importance]],'Logic and Calculation'!$H$3:$J$12,3,FALSE)</f>
        <v>Medium</v>
      </c>
      <c r="M10" s="4">
        <v>7</v>
      </c>
      <c r="N10" s="4">
        <f>VLOOKUP(Table13[[#This Row],[Importance]],'Logic and Calculation'!$H$3:$J$12,2,FALSE)</f>
        <v>-21</v>
      </c>
      <c r="O10" s="12"/>
    </row>
    <row r="11" spans="1:15" ht="24" customHeight="1" x14ac:dyDescent="0.3">
      <c r="A11" s="4" t="s">
        <v>89</v>
      </c>
      <c r="B11" s="4" t="s">
        <v>99</v>
      </c>
      <c r="C11" s="4" t="s">
        <v>100</v>
      </c>
      <c r="D11" s="4" t="s">
        <v>18</v>
      </c>
      <c r="E11" s="30" t="s">
        <v>101</v>
      </c>
      <c r="F11" s="3" t="s">
        <v>102</v>
      </c>
      <c r="G11" s="3" t="s">
        <v>103</v>
      </c>
      <c r="H11" s="3" t="s">
        <v>104</v>
      </c>
      <c r="I11" s="3" t="s">
        <v>105</v>
      </c>
      <c r="J11" s="3" t="s">
        <v>106</v>
      </c>
      <c r="K11" s="3" t="s">
        <v>107</v>
      </c>
      <c r="L11" s="6" t="str">
        <f>VLOOKUP(Table13[[#This Row],[Importance]],'Logic and Calculation'!$H$3:$J$12,3,FALSE)</f>
        <v>Medium</v>
      </c>
      <c r="M11" s="4">
        <v>5</v>
      </c>
      <c r="N11" s="4">
        <f>VLOOKUP(Table13[[#This Row],[Importance]],'Logic and Calculation'!$H$3:$J$12,2,FALSE)</f>
        <v>-15</v>
      </c>
      <c r="O11" s="12"/>
    </row>
    <row r="12" spans="1:15" ht="24" customHeight="1" x14ac:dyDescent="0.3">
      <c r="A12" s="4" t="s">
        <v>89</v>
      </c>
      <c r="B12" s="4" t="s">
        <v>108</v>
      </c>
      <c r="C12" s="4" t="s">
        <v>109</v>
      </c>
      <c r="D12" s="4" t="s">
        <v>18</v>
      </c>
      <c r="E12" s="36" t="s">
        <v>110</v>
      </c>
      <c r="F12" s="3" t="s">
        <v>111</v>
      </c>
      <c r="G12" s="3" t="s">
        <v>112</v>
      </c>
      <c r="H12" s="3" t="s">
        <v>113</v>
      </c>
      <c r="I12" s="3" t="s">
        <v>114</v>
      </c>
      <c r="J12" s="31" t="s">
        <v>115</v>
      </c>
      <c r="K12" s="3" t="s">
        <v>116</v>
      </c>
      <c r="L12" s="4" t="str">
        <f>VLOOKUP(Table13[[#This Row],[Importance]],'Logic and Calculation'!$H$3:$J$12,3,FALSE)</f>
        <v>Medium</v>
      </c>
      <c r="M12" s="4">
        <v>5</v>
      </c>
      <c r="N12" s="4">
        <f>VLOOKUP(Table13[[#This Row],[Importance]],'Logic and Calculation'!$H$3:$J$12,2,FALSE)</f>
        <v>-15</v>
      </c>
      <c r="O12" s="12"/>
    </row>
    <row r="13" spans="1:15" ht="48" customHeight="1" x14ac:dyDescent="0.3">
      <c r="A13" s="4" t="s">
        <v>89</v>
      </c>
      <c r="B13" s="4" t="s">
        <v>117</v>
      </c>
      <c r="C13" s="4" t="s">
        <v>118</v>
      </c>
      <c r="D13" s="4" t="s">
        <v>18</v>
      </c>
      <c r="E13" s="30" t="s">
        <v>119</v>
      </c>
      <c r="F13" s="3" t="s">
        <v>120</v>
      </c>
      <c r="G13" s="3" t="s">
        <v>121</v>
      </c>
      <c r="H13" s="3" t="s">
        <v>122</v>
      </c>
      <c r="I13" s="3" t="s">
        <v>123</v>
      </c>
      <c r="J13" s="3" t="s">
        <v>124</v>
      </c>
      <c r="K13" s="3" t="s">
        <v>125</v>
      </c>
      <c r="L13" s="6" t="str">
        <f>VLOOKUP(Table13[[#This Row],[Importance]],'Logic and Calculation'!$H$3:$J$12,3,FALSE)</f>
        <v>Medium</v>
      </c>
      <c r="M13" s="4">
        <v>5</v>
      </c>
      <c r="N13" s="4">
        <f>VLOOKUP(Table13[[#This Row],[Importance]],'Logic and Calculation'!$H$3:$J$12,2,FALSE)</f>
        <v>-15</v>
      </c>
      <c r="O13" s="12"/>
    </row>
  </sheetData>
  <conditionalFormatting sqref="D2:D13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13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9"/>
  <sheetViews>
    <sheetView workbookViewId="0">
      <pane ySplit="7" topLeftCell="A8" activePane="bottomLeft" state="frozen"/>
      <selection pane="bottomLeft" activeCell="F32" sqref="F32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1</v>
      </c>
      <c r="B1" s="2" t="s">
        <v>0</v>
      </c>
      <c r="C1" s="2" t="s">
        <v>2</v>
      </c>
      <c r="D1" s="2" t="s">
        <v>3</v>
      </c>
      <c r="E1" s="2" t="s">
        <v>13</v>
      </c>
      <c r="F1" s="2" t="s">
        <v>151</v>
      </c>
    </row>
    <row r="2" spans="1:13" x14ac:dyDescent="0.3">
      <c r="A2" t="s">
        <v>152</v>
      </c>
      <c r="B2">
        <v>100</v>
      </c>
      <c r="D2" t="s">
        <v>153</v>
      </c>
      <c r="H2" s="9" t="s">
        <v>12</v>
      </c>
      <c r="I2" s="9" t="s">
        <v>154</v>
      </c>
      <c r="J2" s="9" t="s">
        <v>155</v>
      </c>
      <c r="L2" s="19" t="s">
        <v>134</v>
      </c>
      <c r="M2" s="19" t="s">
        <v>156</v>
      </c>
    </row>
    <row r="3" spans="1:13" x14ac:dyDescent="0.3">
      <c r="A3" t="s">
        <v>157</v>
      </c>
      <c r="B3">
        <f>SUM(F8:F19)</f>
        <v>0</v>
      </c>
      <c r="D3" t="s">
        <v>158</v>
      </c>
      <c r="H3">
        <v>10</v>
      </c>
      <c r="I3" s="33">
        <v>-30</v>
      </c>
      <c r="J3" t="s">
        <v>159</v>
      </c>
      <c r="L3" t="s">
        <v>160</v>
      </c>
      <c r="M3" t="s">
        <v>161</v>
      </c>
    </row>
    <row r="4" spans="1:13" x14ac:dyDescent="0.3">
      <c r="A4" t="s">
        <v>162</v>
      </c>
      <c r="B4">
        <f>B2+B3</f>
        <v>100</v>
      </c>
      <c r="D4" t="s">
        <v>163</v>
      </c>
      <c r="H4">
        <v>9</v>
      </c>
      <c r="I4" s="33">
        <v>-27</v>
      </c>
      <c r="J4" t="s">
        <v>164</v>
      </c>
      <c r="L4" t="s">
        <v>165</v>
      </c>
      <c r="M4" t="s">
        <v>166</v>
      </c>
    </row>
    <row r="5" spans="1:13" x14ac:dyDescent="0.3">
      <c r="A5" t="s">
        <v>134</v>
      </c>
      <c r="B5" t="str">
        <f>IF(B4&gt;=75,"Healthy",IF(AND(B4&lt;=74,B4&gt;=40),"Needs Attention","At Risk"))</f>
        <v>Healthy</v>
      </c>
      <c r="D5" t="s">
        <v>167</v>
      </c>
      <c r="H5">
        <v>8</v>
      </c>
      <c r="I5" s="33">
        <v>-24</v>
      </c>
      <c r="J5" t="s">
        <v>164</v>
      </c>
      <c r="L5" t="s">
        <v>168</v>
      </c>
      <c r="M5" t="s">
        <v>169</v>
      </c>
    </row>
    <row r="6" spans="1:13" x14ac:dyDescent="0.3">
      <c r="A6" t="s">
        <v>170</v>
      </c>
      <c r="B6" t="s">
        <v>171</v>
      </c>
      <c r="H6">
        <v>7</v>
      </c>
      <c r="I6" s="33">
        <v>-21</v>
      </c>
      <c r="J6" t="s">
        <v>172</v>
      </c>
    </row>
    <row r="7" spans="1:13" x14ac:dyDescent="0.3">
      <c r="H7">
        <v>6</v>
      </c>
      <c r="I7" s="33">
        <v>-18</v>
      </c>
      <c r="J7" t="s">
        <v>172</v>
      </c>
    </row>
    <row r="8" spans="1:13" x14ac:dyDescent="0.3">
      <c r="A8" t="str">
        <f>'Account Implement_Reference'!B2</f>
        <v>I001</v>
      </c>
      <c r="B8" t="str">
        <f>'Account Implement_Reference'!A2</f>
        <v>Access &amp; Connectivity</v>
      </c>
      <c r="C8" t="str">
        <f>'Account Implement_Reference'!C2</f>
        <v>Salesforce Access Confirmed</v>
      </c>
      <c r="D8" t="str">
        <f>'Account Implement_Reference'!D2</f>
        <v>OK</v>
      </c>
      <c r="E8">
        <f>'Account Implement_Reference'!N2</f>
        <v>-15</v>
      </c>
      <c r="F8">
        <f t="shared" ref="F8:F19" si="0">IF(D8="FLAG",E8,IF(D8="PARTIAL",E8*0.5,0))</f>
        <v>0</v>
      </c>
      <c r="H8">
        <v>5</v>
      </c>
      <c r="I8" s="33">
        <v>-15</v>
      </c>
      <c r="J8" t="s">
        <v>172</v>
      </c>
    </row>
    <row r="9" spans="1:13" x14ac:dyDescent="0.3">
      <c r="A9" t="str">
        <f>'Account Implement_Reference'!B3</f>
        <v>I002</v>
      </c>
      <c r="B9" t="str">
        <f>'Account Implement_Reference'!A3</f>
        <v>Access &amp; Connectivity</v>
      </c>
      <c r="C9" t="str">
        <f>'Account Implement_Reference'!C3</f>
        <v>GMC + GA4 Linked to Google Ads</v>
      </c>
      <c r="D9" t="str">
        <f>'Account Implement_Reference'!D3</f>
        <v>OK</v>
      </c>
      <c r="E9">
        <f>'Account Implement_Reference'!N3</f>
        <v>-24</v>
      </c>
      <c r="F9">
        <f t="shared" si="0"/>
        <v>0</v>
      </c>
      <c r="H9">
        <v>4</v>
      </c>
      <c r="I9" s="33">
        <v>-12</v>
      </c>
      <c r="J9" t="s">
        <v>173</v>
      </c>
    </row>
    <row r="10" spans="1:13" x14ac:dyDescent="0.3">
      <c r="A10" t="str">
        <f>'Account Implement_Reference'!B4</f>
        <v>I003</v>
      </c>
      <c r="B10" t="str">
        <f>'Account Implement_Reference'!A4</f>
        <v>Access &amp; Connectivity</v>
      </c>
      <c r="C10" t="str">
        <f>'Account Implement_Reference'!C4</f>
        <v>Conversion Tag Active</v>
      </c>
      <c r="D10" t="str">
        <f>'Account Implement_Reference'!D4</f>
        <v>OK</v>
      </c>
      <c r="E10">
        <f>'Account Implement_Reference'!N4</f>
        <v>-30</v>
      </c>
      <c r="F10">
        <f t="shared" si="0"/>
        <v>0</v>
      </c>
      <c r="H10">
        <v>3</v>
      </c>
      <c r="I10" s="33">
        <v>-9</v>
      </c>
      <c r="J10" t="s">
        <v>173</v>
      </c>
    </row>
    <row r="11" spans="1:13" x14ac:dyDescent="0.3">
      <c r="A11" t="str">
        <f>'Account Implement_Reference'!B5</f>
        <v>I004</v>
      </c>
      <c r="B11" t="str">
        <f>'Account Implement_Reference'!A5</f>
        <v>Access &amp; Connectivity</v>
      </c>
      <c r="C11" t="str">
        <f>'Account Implement_Reference'!C5</f>
        <v>Purchase on Primary Conversion Tag</v>
      </c>
      <c r="D11" t="str">
        <f>'Account Implement_Reference'!D5</f>
        <v>OK</v>
      </c>
      <c r="E11">
        <f>'Account Implement_Reference'!N5</f>
        <v>-15</v>
      </c>
      <c r="F11">
        <f t="shared" si="0"/>
        <v>0</v>
      </c>
      <c r="H11">
        <v>2</v>
      </c>
      <c r="I11" s="33">
        <v>-6</v>
      </c>
      <c r="J11" t="s">
        <v>174</v>
      </c>
    </row>
    <row r="12" spans="1:13" x14ac:dyDescent="0.3">
      <c r="A12" t="str">
        <f>'Account Implement_Reference'!B6</f>
        <v>I005</v>
      </c>
      <c r="B12" t="str">
        <f>'Account Implement_Reference'!A6</f>
        <v>Access &amp; Connectivity</v>
      </c>
      <c r="C12" t="str">
        <f>'Account Implement_Reference'!C6</f>
        <v>Confirm Conversion Tag on Campaigns</v>
      </c>
      <c r="D12" t="str">
        <f>'Account Implement_Reference'!D6</f>
        <v>OK</v>
      </c>
      <c r="E12">
        <f>'Account Implement_Reference'!N6</f>
        <v>-15</v>
      </c>
      <c r="F12">
        <f t="shared" si="0"/>
        <v>0</v>
      </c>
      <c r="H12">
        <v>1</v>
      </c>
      <c r="I12" s="33">
        <v>0</v>
      </c>
      <c r="J12" t="s">
        <v>174</v>
      </c>
    </row>
    <row r="13" spans="1:13" x14ac:dyDescent="0.3">
      <c r="A13" t="str">
        <f>'Account Implement_Reference'!B7</f>
        <v>I006</v>
      </c>
      <c r="B13" t="str">
        <f>'Account Implement_Reference'!A7</f>
        <v>Access &amp; Connectivity</v>
      </c>
      <c r="C13" t="str">
        <f>'Account Implement_Reference'!C7</f>
        <v>Billing Status Active</v>
      </c>
      <c r="D13" t="str">
        <f>'Account Implement_Reference'!D7</f>
        <v>OK</v>
      </c>
      <c r="E13">
        <f>'Account Implement_Reference'!N7</f>
        <v>-15</v>
      </c>
      <c r="F13">
        <f t="shared" si="0"/>
        <v>0</v>
      </c>
    </row>
    <row r="14" spans="1:13" x14ac:dyDescent="0.3">
      <c r="A14" t="str">
        <f>'Account Implement_Reference'!B8</f>
        <v>I007</v>
      </c>
      <c r="B14" t="str">
        <f>'Account Implement_Reference'!A8</f>
        <v>Access &amp; Connectivity</v>
      </c>
      <c r="C14" t="str">
        <f>'Account Implement_Reference'!C8</f>
        <v>Policy Violations = Zero</v>
      </c>
      <c r="D14" t="str">
        <f>'Account Implement_Reference'!D8</f>
        <v>OK</v>
      </c>
      <c r="E14">
        <f>'Account Implement_Reference'!N8</f>
        <v>-30</v>
      </c>
      <c r="F14">
        <f t="shared" si="0"/>
        <v>0</v>
      </c>
    </row>
    <row r="15" spans="1:13" x14ac:dyDescent="0.3">
      <c r="A15" t="str">
        <f>'Account Implement_Reference'!B9</f>
        <v>I008</v>
      </c>
      <c r="B15" t="str">
        <f>'Account Implement_Reference'!A9</f>
        <v>Access &amp; Connectivity</v>
      </c>
      <c r="C15" t="str">
        <f>'Account Implement_Reference'!C9</f>
        <v>Product Disapproval Rate &lt; 10%</v>
      </c>
      <c r="D15" t="str">
        <f>'Account Implement_Reference'!D9</f>
        <v>OK</v>
      </c>
      <c r="E15">
        <f>'Account Implement_Reference'!N9</f>
        <v>-30</v>
      </c>
      <c r="F15">
        <f t="shared" si="0"/>
        <v>0</v>
      </c>
    </row>
    <row r="16" spans="1:13" x14ac:dyDescent="0.3">
      <c r="A16" t="str">
        <f>'Account Implement_Reference'!B10</f>
        <v>I009</v>
      </c>
      <c r="B16" t="str">
        <f>'Account Implement_Reference'!A10</f>
        <v>Feed &amp; Data Sources</v>
      </c>
      <c r="C16" t="str">
        <f>'Account Implement_Reference'!C10</f>
        <v>GMC Feed Duplication Check</v>
      </c>
      <c r="D16" t="str">
        <f>'Account Implement_Reference'!D10</f>
        <v>OK</v>
      </c>
      <c r="E16">
        <f>'Account Implement_Reference'!N10</f>
        <v>-21</v>
      </c>
      <c r="F16">
        <f t="shared" si="0"/>
        <v>0</v>
      </c>
    </row>
    <row r="17" spans="1:6" x14ac:dyDescent="0.3">
      <c r="A17" t="str">
        <f>'Account Implement_Reference'!B11</f>
        <v>I010</v>
      </c>
      <c r="B17" t="str">
        <f>'Account Implement_Reference'!A11</f>
        <v>Feed &amp; Data Sources</v>
      </c>
      <c r="C17" t="str">
        <f>'Account Implement_Reference'!C11</f>
        <v>Quartile Portal Feed Active</v>
      </c>
      <c r="D17" t="str">
        <f>'Account Implement_Reference'!D11</f>
        <v>OK</v>
      </c>
      <c r="E17">
        <f>'Account Implement_Reference'!N11</f>
        <v>-15</v>
      </c>
      <c r="F17">
        <f t="shared" si="0"/>
        <v>0</v>
      </c>
    </row>
    <row r="18" spans="1:6" x14ac:dyDescent="0.3">
      <c r="A18" t="str">
        <f>'Account Implement_Reference'!B12</f>
        <v>I011</v>
      </c>
      <c r="B18" t="str">
        <f>'Account Implement_Reference'!A12</f>
        <v>Feed &amp; Data Sources</v>
      </c>
      <c r="C18" t="str">
        <f>'Account Implement_Reference'!C12</f>
        <v>Quartile Portal Last Update</v>
      </c>
      <c r="D18" t="str">
        <f>'Account Implement_Reference'!D12</f>
        <v>OK</v>
      </c>
      <c r="E18">
        <f>'Account Implement_Reference'!N12</f>
        <v>-15</v>
      </c>
      <c r="F18">
        <f t="shared" si="0"/>
        <v>0</v>
      </c>
    </row>
    <row r="19" spans="1:6" x14ac:dyDescent="0.3">
      <c r="A19" t="str">
        <f>'Account Implement_Reference'!B13</f>
        <v>I012</v>
      </c>
      <c r="B19" t="str">
        <f>'Account Implement_Reference'!A13</f>
        <v>Feed &amp; Data Sources</v>
      </c>
      <c r="C19" t="str">
        <f>'Account Implement_Reference'!C13</f>
        <v>Shopify / E-commerce Platform Connected</v>
      </c>
      <c r="D19" t="str">
        <f>'Account Implement_Reference'!D13</f>
        <v>OK</v>
      </c>
      <c r="E19">
        <f>'Account Implement_Reference'!N13</f>
        <v>-15</v>
      </c>
      <c r="F19">
        <f t="shared" si="0"/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3"/>
  <sheetViews>
    <sheetView workbookViewId="0">
      <selection activeCell="D2" sqref="D2"/>
    </sheetView>
  </sheetViews>
  <sheetFormatPr defaultRowHeight="14.4" x14ac:dyDescent="0.3"/>
  <cols>
    <col min="1" max="1" width="12" customWidth="1"/>
    <col min="2" max="2" width="18" customWidth="1"/>
    <col min="3" max="3" width="30" customWidth="1"/>
    <col min="4" max="4" width="100" customWidth="1"/>
  </cols>
  <sheetData>
    <row r="1" spans="1:4" ht="28.05" customHeight="1" x14ac:dyDescent="0.3">
      <c r="A1" s="38" t="s">
        <v>1</v>
      </c>
      <c r="B1" s="38" t="s">
        <v>0</v>
      </c>
      <c r="C1" s="38" t="s">
        <v>2</v>
      </c>
      <c r="D1" s="38" t="s">
        <v>138</v>
      </c>
    </row>
    <row r="2" spans="1:4" ht="319.95" customHeight="1" x14ac:dyDescent="0.3">
      <c r="A2" s="39" t="s">
        <v>16</v>
      </c>
      <c r="B2" s="40" t="s">
        <v>15</v>
      </c>
      <c r="C2" s="41" t="s">
        <v>17</v>
      </c>
      <c r="D2" s="42" t="s">
        <v>139</v>
      </c>
    </row>
    <row r="3" spans="1:4" ht="319.95" customHeight="1" x14ac:dyDescent="0.3">
      <c r="A3" s="39" t="s">
        <v>26</v>
      </c>
      <c r="B3" s="40" t="s">
        <v>15</v>
      </c>
      <c r="C3" s="41" t="s">
        <v>27</v>
      </c>
      <c r="D3" s="42" t="s">
        <v>140</v>
      </c>
    </row>
    <row r="4" spans="1:4" ht="319.95" customHeight="1" x14ac:dyDescent="0.3">
      <c r="A4" s="39" t="s">
        <v>35</v>
      </c>
      <c r="B4" s="40" t="s">
        <v>15</v>
      </c>
      <c r="C4" s="41" t="s">
        <v>36</v>
      </c>
      <c r="D4" s="42" t="s">
        <v>141</v>
      </c>
    </row>
    <row r="5" spans="1:4" ht="319.95" customHeight="1" x14ac:dyDescent="0.3">
      <c r="A5" s="39" t="s">
        <v>44</v>
      </c>
      <c r="B5" s="40" t="s">
        <v>15</v>
      </c>
      <c r="C5" s="41" t="s">
        <v>45</v>
      </c>
      <c r="D5" s="42" t="s">
        <v>142</v>
      </c>
    </row>
    <row r="6" spans="1:4" ht="319.95" customHeight="1" x14ac:dyDescent="0.3">
      <c r="A6" s="39" t="s">
        <v>53</v>
      </c>
      <c r="B6" s="40" t="s">
        <v>15</v>
      </c>
      <c r="C6" s="41" t="s">
        <v>54</v>
      </c>
      <c r="D6" s="42" t="s">
        <v>143</v>
      </c>
    </row>
    <row r="7" spans="1:4" ht="319.95" customHeight="1" x14ac:dyDescent="0.3">
      <c r="A7" s="39" t="s">
        <v>62</v>
      </c>
      <c r="B7" s="40" t="s">
        <v>15</v>
      </c>
      <c r="C7" s="41" t="s">
        <v>63</v>
      </c>
      <c r="D7" s="42" t="s">
        <v>144</v>
      </c>
    </row>
    <row r="8" spans="1:4" ht="319.95" customHeight="1" x14ac:dyDescent="0.3">
      <c r="A8" s="39" t="s">
        <v>71</v>
      </c>
      <c r="B8" s="40" t="s">
        <v>15</v>
      </c>
      <c r="C8" s="41" t="s">
        <v>72</v>
      </c>
      <c r="D8" s="42" t="s">
        <v>145</v>
      </c>
    </row>
    <row r="9" spans="1:4" ht="319.95" customHeight="1" x14ac:dyDescent="0.3">
      <c r="A9" s="39" t="s">
        <v>80</v>
      </c>
      <c r="B9" s="40" t="s">
        <v>15</v>
      </c>
      <c r="C9" s="41" t="s">
        <v>81</v>
      </c>
      <c r="D9" s="42" t="s">
        <v>146</v>
      </c>
    </row>
    <row r="10" spans="1:4" ht="319.95" customHeight="1" x14ac:dyDescent="0.3">
      <c r="A10" s="43" t="s">
        <v>90</v>
      </c>
      <c r="B10" s="44" t="s">
        <v>89</v>
      </c>
      <c r="C10" s="45" t="s">
        <v>91</v>
      </c>
      <c r="D10" s="42" t="s">
        <v>147</v>
      </c>
    </row>
    <row r="11" spans="1:4" ht="319.95" customHeight="1" x14ac:dyDescent="0.3">
      <c r="A11" s="43" t="s">
        <v>99</v>
      </c>
      <c r="B11" s="44" t="s">
        <v>89</v>
      </c>
      <c r="C11" s="45" t="s">
        <v>100</v>
      </c>
      <c r="D11" s="42" t="s">
        <v>148</v>
      </c>
    </row>
    <row r="12" spans="1:4" ht="319.95" customHeight="1" x14ac:dyDescent="0.3">
      <c r="A12" s="43" t="s">
        <v>108</v>
      </c>
      <c r="B12" s="44" t="s">
        <v>89</v>
      </c>
      <c r="C12" s="45" t="s">
        <v>109</v>
      </c>
      <c r="D12" s="42" t="s">
        <v>149</v>
      </c>
    </row>
    <row r="13" spans="1:4" ht="319.95" customHeight="1" x14ac:dyDescent="0.3">
      <c r="A13" s="43" t="s">
        <v>117</v>
      </c>
      <c r="B13" s="44" t="s">
        <v>89</v>
      </c>
      <c r="C13" s="45" t="s">
        <v>118</v>
      </c>
      <c r="D13" s="42" t="s">
        <v>150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Account Implement_Analysis</vt:lpstr>
      <vt:lpstr>Account Implement_Reference</vt:lpstr>
      <vt:lpstr>Logic and Calculation</vt:lpstr>
      <vt:lpstr>Implement — WHAT Definitions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2026-07-10T14:53:34Z</dcterms:modified>
</cp:coreProperties>
</file>