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C:\Users\GuilhermeQuartile\Downloads\"/>
    </mc:Choice>
  </mc:AlternateContent>
  <xr:revisionPtr revIDLastSave="0" documentId="13_ncr:1_{DFF61660-073D-4082-9E45-0E44DA208BC2}" xr6:coauthVersionLast="47" xr6:coauthVersionMax="47" xr10:uidLastSave="{00000000-0000-0000-0000-000000000000}"/>
  <bookViews>
    <workbookView xWindow="-57720" yWindow="0" windowWidth="29040" windowHeight="15720" activeTab="3" xr2:uid="{00000000-000D-0000-FFFF-FFFF00000000}"/>
  </bookViews>
  <sheets>
    <sheet name="Framework_Analysis" sheetId="1" r:id="rId1"/>
    <sheet name="Framework_Reference" sheetId="2" r:id="rId2"/>
    <sheet name="Logic and Calculation" sheetId="3" r:id="rId3"/>
    <sheet name="Framework — WHAT Definitions" sheetId="4" r:id="rId4"/>
  </sheets>
  <definedNames>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3" l="1"/>
  <c r="F29" i="3" s="1"/>
  <c r="C29" i="3"/>
  <c r="B29" i="3"/>
  <c r="A29" i="3"/>
  <c r="D28" i="3"/>
  <c r="F28" i="3" s="1"/>
  <c r="C28" i="3"/>
  <c r="B28" i="3"/>
  <c r="A28" i="3"/>
  <c r="D27" i="3"/>
  <c r="F27" i="3" s="1"/>
  <c r="C27" i="3"/>
  <c r="B27" i="3"/>
  <c r="A27" i="3"/>
  <c r="D26" i="3"/>
  <c r="F26" i="3" s="1"/>
  <c r="C26" i="3"/>
  <c r="B26" i="3"/>
  <c r="A26" i="3"/>
  <c r="D25" i="3"/>
  <c r="F25" i="3" s="1"/>
  <c r="C25" i="3"/>
  <c r="B25" i="3"/>
  <c r="A25" i="3"/>
  <c r="D24" i="3"/>
  <c r="F24" i="3" s="1"/>
  <c r="C24" i="3"/>
  <c r="B24" i="3"/>
  <c r="A24" i="3"/>
  <c r="D23" i="3"/>
  <c r="F23" i="3" s="1"/>
  <c r="C23" i="3"/>
  <c r="B23" i="3"/>
  <c r="A23" i="3"/>
  <c r="D22" i="3"/>
  <c r="F22" i="3" s="1"/>
  <c r="C22" i="3"/>
  <c r="B22" i="3"/>
  <c r="A22" i="3"/>
  <c r="D21" i="3"/>
  <c r="F21" i="3" s="1"/>
  <c r="C21" i="3"/>
  <c r="B21" i="3"/>
  <c r="A21" i="3"/>
  <c r="D20" i="3"/>
  <c r="F20" i="3" s="1"/>
  <c r="C20" i="3"/>
  <c r="B20" i="3"/>
  <c r="A20" i="3"/>
  <c r="D19" i="3"/>
  <c r="F19" i="3" s="1"/>
  <c r="C19" i="3"/>
  <c r="B19" i="3"/>
  <c r="A19" i="3"/>
  <c r="D18" i="3"/>
  <c r="F18" i="3" s="1"/>
  <c r="C18" i="3"/>
  <c r="B18" i="3"/>
  <c r="A18" i="3"/>
  <c r="D17" i="3"/>
  <c r="F17" i="3" s="1"/>
  <c r="C17" i="3"/>
  <c r="B17" i="3"/>
  <c r="A17" i="3"/>
  <c r="D16" i="3"/>
  <c r="F16" i="3" s="1"/>
  <c r="C16" i="3"/>
  <c r="B16" i="3"/>
  <c r="A16" i="3"/>
  <c r="D15" i="3"/>
  <c r="F15" i="3" s="1"/>
  <c r="C15" i="3"/>
  <c r="B15" i="3"/>
  <c r="A15" i="3"/>
  <c r="D14" i="3"/>
  <c r="F14" i="3" s="1"/>
  <c r="C14" i="3"/>
  <c r="B14" i="3"/>
  <c r="A14" i="3"/>
  <c r="D13" i="3"/>
  <c r="F13" i="3" s="1"/>
  <c r="C13" i="3"/>
  <c r="B13" i="3"/>
  <c r="A13" i="3"/>
  <c r="D12" i="3"/>
  <c r="F12" i="3" s="1"/>
  <c r="C12" i="3"/>
  <c r="B12" i="3"/>
  <c r="A12" i="3"/>
  <c r="D11" i="3"/>
  <c r="F11" i="3" s="1"/>
  <c r="C11" i="3"/>
  <c r="B11" i="3"/>
  <c r="A11" i="3"/>
  <c r="D10" i="3"/>
  <c r="F10" i="3" s="1"/>
  <c r="C10" i="3"/>
  <c r="B10" i="3"/>
  <c r="A10" i="3"/>
  <c r="D9" i="3"/>
  <c r="F9" i="3" s="1"/>
  <c r="C9" i="3"/>
  <c r="B9" i="3"/>
  <c r="A9" i="3"/>
  <c r="D8" i="3"/>
  <c r="F8" i="3" s="1"/>
  <c r="C8" i="3"/>
  <c r="B8" i="3"/>
  <c r="A8" i="3"/>
  <c r="N23" i="2"/>
  <c r="E29" i="3" s="1"/>
  <c r="L23" i="2"/>
  <c r="N22" i="2"/>
  <c r="E28" i="3" s="1"/>
  <c r="L22" i="2"/>
  <c r="N21" i="2"/>
  <c r="E27" i="3" s="1"/>
  <c r="L21" i="2"/>
  <c r="N20" i="2"/>
  <c r="E26" i="3" s="1"/>
  <c r="L20" i="2"/>
  <c r="N19" i="2"/>
  <c r="E25" i="3" s="1"/>
  <c r="L19" i="2"/>
  <c r="N18" i="2"/>
  <c r="E24" i="3" s="1"/>
  <c r="L18" i="2"/>
  <c r="N17" i="2"/>
  <c r="E23" i="3" s="1"/>
  <c r="L17" i="2"/>
  <c r="N16" i="2"/>
  <c r="E22" i="3" s="1"/>
  <c r="L16" i="2"/>
  <c r="N15" i="2"/>
  <c r="E21" i="3" s="1"/>
  <c r="L15" i="2"/>
  <c r="N14" i="2"/>
  <c r="E20" i="3" s="1"/>
  <c r="L14" i="2"/>
  <c r="N13" i="2"/>
  <c r="E19" i="3" s="1"/>
  <c r="L13" i="2"/>
  <c r="N12" i="2"/>
  <c r="E18" i="3" s="1"/>
  <c r="L12" i="2"/>
  <c r="N11" i="2"/>
  <c r="E17" i="3" s="1"/>
  <c r="L11" i="2"/>
  <c r="N10" i="2"/>
  <c r="E16" i="3" s="1"/>
  <c r="L10" i="2"/>
  <c r="N9" i="2"/>
  <c r="E15" i="3" s="1"/>
  <c r="L9" i="2"/>
  <c r="N8" i="2"/>
  <c r="E14" i="3" s="1"/>
  <c r="L8" i="2"/>
  <c r="N7" i="2"/>
  <c r="E13" i="3" s="1"/>
  <c r="L7" i="2"/>
  <c r="N6" i="2"/>
  <c r="E12" i="3" s="1"/>
  <c r="L6" i="2"/>
  <c r="N5" i="2"/>
  <c r="E11" i="3" s="1"/>
  <c r="L5" i="2"/>
  <c r="N4" i="2"/>
  <c r="E10" i="3" s="1"/>
  <c r="L4" i="2"/>
  <c r="N3" i="2"/>
  <c r="E9" i="3" s="1"/>
  <c r="L3" i="2"/>
  <c r="N2" i="2"/>
  <c r="E8" i="3" s="1"/>
  <c r="L2" i="2"/>
  <c r="A12" i="1" s="1" a="1"/>
  <c r="A12" i="1" s="1"/>
  <c r="B3" i="3" l="1"/>
  <c r="B4" i="3" s="1"/>
  <c r="B5" i="3" s="1"/>
  <c r="D7" i="1" s="1"/>
  <c r="D8" i="1" s="1" a="1"/>
  <c r="D8" i="1" s="1"/>
</calcChain>
</file>

<file path=xl/sharedStrings.xml><?xml version="1.0" encoding="utf-8"?>
<sst xmlns="http://schemas.openxmlformats.org/spreadsheetml/2006/main" count="405" uniqueCount="271">
  <si>
    <t>Block</t>
  </si>
  <si>
    <t>Control ID</t>
  </si>
  <si>
    <t>Control Name</t>
  </si>
  <si>
    <t>STATUS</t>
  </si>
  <si>
    <t>What</t>
  </si>
  <si>
    <t>Why</t>
  </si>
  <si>
    <t>How</t>
  </si>
  <si>
    <t>What We Saw</t>
  </si>
  <si>
    <t>Why It Matters</t>
  </si>
  <si>
    <t xml:space="preserve">What You Should Do </t>
  </si>
  <si>
    <t>Data Source</t>
  </si>
  <si>
    <t>Impact</t>
  </si>
  <si>
    <t>Importance</t>
  </si>
  <si>
    <t>Priority</t>
  </si>
  <si>
    <t>Notes/Intent</t>
  </si>
  <si>
    <t>Account Governance</t>
  </si>
  <si>
    <t>F001</t>
  </si>
  <si>
    <t>Naming Convention — QT Prefix</t>
  </si>
  <si>
    <t>OK</t>
  </si>
  <si>
    <t>Verify all ENABLED campaigns with Spend &gt; $0 start with the QT_ prefix.</t>
  </si>
  <si>
    <t>Non-QT_ campaigns are unmanaged or legacy — outside CoE governance and audit traceability.</t>
  </si>
  <si>
    <t>FLAG if any ENABLED campaign with Spend &gt; 0 does not start with 'QT_'. PARTIAL if ≤10% non-compliant. OK if all clean.</t>
  </si>
  <si>
    <t>Observed: {num_non_qt} active campaign(s) with spend not following QT_ prefix. Non-compliant: {campaign_list}.</t>
  </si>
  <si>
    <t>Non-standard naming breaks governance visibility. Without QT_ prefix, the CoE agent cannot reliably identify campaign ownership or optimization layer — increasing audit error risk.</t>
  </si>
  <si>
    <t>Rename all non-QT_ campaigns to follow the QT_ naming standard or pause/remove legacy campaigns.</t>
  </si>
  <si>
    <t>Tab 35_Google_Campaign_Settings (CampaignName, State, IsEnabled) + Tab 12_Campaign_Gold_Metrics (Cost)</t>
  </si>
  <si>
    <t>F002</t>
  </si>
  <si>
    <t>Naming Convention — Campaign Type Token</t>
  </si>
  <si>
    <t>Verify the second segment of each QT_ campaign name is a recognized campaign type token.</t>
  </si>
  <si>
    <t>Invalid campaign type tokens break automated parsing and make campaign type segmentation unreliable.</t>
  </si>
  <si>
    <t>FLAG if any ENABLED campaign starts with QT_ but second segment (split by '_') is not in the approved list: Pmax, PmaxFeed, PmaxAssets, PmaxNCA, PmaxNCAFeed, PmaxNCAAssets, PmaxLocal, Search, SearchDSA, SearchDSAPagefeed, SearchDSAPagefeedNCA, SearchNCA, Shopping, ShoppingLIA, ShoppingSQF, DemandGen, Display, YouTube. PARTIAL if ≤20% invalid. OK if all valid.</t>
  </si>
  <si>
    <t>Observed: {num_invalid_type} campaign(s) with unrecognized campaign type token. Examples: {campaign_list}.</t>
  </si>
  <si>
    <t>Invalid campaign type tokens prevent the agent from categorizing campaigns correctly, creating gaps in pillar-level analysis and reporting.</t>
  </si>
  <si>
    <t>Rename campaigns to use a valid campaign type token as the second component (e.g., QT_Pmax_, QT_Search_, QT_Shopping_).</t>
  </si>
  <si>
    <t>Tab 35_Google_Campaign_Settings (CampaignName, State, IsEnabled)</t>
  </si>
  <si>
    <t>F003</t>
  </si>
  <si>
    <t>Naming Convention — Strategy Tag</t>
  </si>
  <si>
    <t>Verify the third segment of each QT_ campaign name is a recognized strategy tag (when present).</t>
  </si>
  <si>
    <t>Invalid strategy tags prevent performance-based campaign segmentation and DPL targeting by tier.</t>
  </si>
  <si>
    <t>FLAG if any ENABLED campaign has a third segment (split by '_') that does not match the approved list: General, TopProducts, LowPerformers, Zombie, Suppression, ShopifyTop. OK if all valid or third segment absent (optional component).</t>
  </si>
  <si>
    <t>Observed: {num_invalid_strategy} campaign(s) with unrecognized strategy tag. Examples: {campaign_list}.</t>
  </si>
  <si>
    <t>Strategy tags are the primary segmentation layer for bid strategy assignment and budget allocation analysis. Invalid tags create silent misclassification.</t>
  </si>
  <si>
    <t>Rename campaigns to use a valid strategy tag as the third component (e.g., General, TopProducts, Zombie, Suppression).</t>
  </si>
  <si>
    <t>F004</t>
  </si>
  <si>
    <t>Display Expansion Disabled on Search</t>
  </si>
  <si>
    <t>Check that no ENABLED Search campaign has TargetContentNetwork = True.</t>
  </si>
  <si>
    <t>Display expansion routes Search budget to placements with fundamentally different intent signals — inflating impressions while suppressing CVR.</t>
  </si>
  <si>
    <t>FLAG if any ENABLED Search campaign has TargetContentNetwork = True. OK if all set to False.</t>
  </si>
  <si>
    <t>Observed: {num_display_expansion} ENABLED Search campaign(s) with TargetContentNetwork = True. Campaigns: {campaign_list}.</t>
  </si>
  <si>
    <t>Display expansion makes performance attribution unreliable and inflates CTR while suppressing conversion efficiency — the account appears to be performing better than it is.</t>
  </si>
  <si>
    <t>Disable Display Network expansion on all Search campaigns: Campaign Settings &gt; Networks &gt; uncheck 'Display Network'.</t>
  </si>
  <si>
    <t>Tab 13_Campaign_Metadata (AdvertisingChannelType=SEARCH, TargetContentNetwork)</t>
  </si>
  <si>
    <t>F005</t>
  </si>
  <si>
    <t>Promotion End Dates</t>
  </si>
  <si>
    <t>Check for ENABLED campaigns with promotional naming (sale, promo, holiday, black friday, cyber, bfcm, seasonal) and StartDate &gt; 60 days ago.</t>
  </si>
  <si>
    <t>Expired promotional campaigns waste budget on irrelevant messaging and risk policy violations.</t>
  </si>
  <si>
    <t>FLAG if any ENABLED campaign name contains promo keywords and StartDate &gt; 60 days ago. OK if none qualify.</t>
  </si>
  <si>
    <t>Observed: {num_stale_promo} ENABLED campaign(s) with promotional naming and start date &gt; 60 days ago still active. Campaigns: {campaign_list}.</t>
  </si>
  <si>
    <t>Expired promotional campaigns continue consuming budget against irrelevant messaging, directly reducing ROAS and misleading performance attribution.</t>
  </si>
  <si>
    <t>Pause or end promotional campaigns whose event window has passed. Update campaign end dates to match actual promotion period.</t>
  </si>
  <si>
    <t>Tab 35_Google_Campaign_Settings (CampaignName, StartDate, State, IsEnabled)</t>
  </si>
  <si>
    <t>F006</t>
  </si>
  <si>
    <t>PMAX Automation Settings Disabled</t>
  </si>
  <si>
    <t>Verify all PMAX campaigns have automation settings disabled per Quartile governance standard.</t>
  </si>
  <si>
    <t>PMAX automations override QT optimization logic with uncontrolled asset and bid changes.</t>
  </si>
  <si>
    <t>Manual check in Google Ads: Campaigns &gt; PMax &gt; Settings. Confirm automation settings are off for all active PMAX campaigns.</t>
  </si>
  <si>
    <t>Manual review required. Verify PMAX automation settings in Google Ads campaign settings for all active PMAX campaigns.</t>
  </si>
  <si>
    <t>PMAX automations active without governance oversight introduce asset and bidding changes outside QT control — undermining optimization integrity and making performance attribution unreliable.</t>
  </si>
  <si>
    <t>Disable all PMAX automation settings: auto-created assets, store goals, and any other automation not explicitly enabled by QT governance.</t>
  </si>
  <si>
    <t>Google Ads UI — Manual Check</t>
  </si>
  <si>
    <t>Keyword &amp; Targeting</t>
  </si>
  <si>
    <t>F007</t>
  </si>
  <si>
    <t>Match Type Governance</t>
  </si>
  <si>
    <t>Evaluate keyword match type distribution across all Search campaigns.</t>
  </si>
  <si>
    <t>Pure BROAD-only structure gives the bidding system minimal targeting constraints, increasing irrelevant query exposure.</t>
  </si>
  <si>
    <t>FLAG if all keywords are BROAD with EXACT &lt; 5% of total. PARTIAL if EXACT &lt; 10%. OK if EXACT ≥ 10% of keyword mix.</t>
  </si>
  <si>
    <t>Observed: BROAD = {pct_broad}%, EXACT = {pct_exact}%, PHRASE = {pct_phrase}% of {total_keywords} total keywords.</t>
  </si>
  <si>
    <t>A BROAD-dominated structure without sufficient EXACT coverage makes spend efficiency harder to control and requires exceptionally strong negative keyword management to compensate.</t>
  </si>
  <si>
    <t>Add EXACT match versions of top-performing broad keywords. Ensure at least 10% of keyword mix uses EXACT or PHRASE match.</t>
  </si>
  <si>
    <t>Tab 09_Keyword_Report (MatchType, CampaignName, State)</t>
  </si>
  <si>
    <t>F008</t>
  </si>
  <si>
    <t>TM Terms Uploaded to QT Portal</t>
  </si>
  <si>
    <t>Verify trademark and branded search terms are uploaded to the QT portal for branded query routing governance.</t>
  </si>
  <si>
    <t>Without TM terms in the portal, branded query routing cannot be governed — competitor ads can capture high-intent branded searches.</t>
  </si>
  <si>
    <t>Proxy: check if Search campaigns with Brand/TM/SKW in name exist and have spend. OK if TM Search campaign detected with spend. FLAG if no branded Search campaign found with spend.</t>
  </si>
  <si>
    <t>Observed: {tm_campaign_found} branded/TM Search campaign(s) detected. Spend in window: ${tm_spend}. QT Portal upload requires manual verification.</t>
  </si>
  <si>
    <t>TM terms not in the QT portal cannot govern branded query routing. Brand-driven conversions become unattributed — directly impacting reported ROAS.</t>
  </si>
  <si>
    <t>Log into QT Portal &gt; Google &gt; Branded Terms and confirm all trademark terms are uploaded and current.</t>
  </si>
  <si>
    <t>Tab 09_Keyword_Report (CampaignName containing Brand/TM/SKW) + Tab 06_Campaign_Report (Spend) — QT Portal upload is manual verification</t>
  </si>
  <si>
    <t>F009</t>
  </si>
  <si>
    <t>Branded Search Campaign Active</t>
  </si>
  <si>
    <t>Verify a dedicated branded/TM Search campaign exists and has spend in the evaluation window.</t>
  </si>
  <si>
    <t>Without a branded campaign, TM terms are unprotected and brand-driven conversions are unattributed.</t>
  </si>
  <si>
    <t>FLAG if no ENABLED Search campaign with Brand/TM/SKW/Branded in the name has Spend &gt; 0 in window. OK if detected with spend.</t>
  </si>
  <si>
    <t>Observed: {branded_found} branded/TM Search campaign detected. Campaign: '{branded_name}'. Spend: ${branded_spend}.</t>
  </si>
  <si>
    <t>Without a dedicated branded campaign, competitor ads can capture high-intent branded searches at lower cost — directly impacting reported ROAS and account story.</t>
  </si>
  <si>
    <t>Ensure a dedicated branded Search campaign (TM, SKW, or Branded in name) is active with positive spend in the window.</t>
  </si>
  <si>
    <t>Tab 06_Campaign_Report (CampaignName, CampaignStatus, Spend) + Tab 35_Google_Campaign_Settings</t>
  </si>
  <si>
    <t>F010</t>
  </si>
  <si>
    <t>Search Term Waste</t>
  </si>
  <si>
    <t>Identify search terms with spend above avg CPC × 3 threshold and zero conversions.</t>
  </si>
  <si>
    <t>Unmanaged waste terms signal missing negatives and direct budget leakage.</t>
  </si>
  <si>
    <t>FLAG if waste spend &gt; 15% of total search spend. PARTIAL if 5–15%. OK if &lt; 5%. Threshold = avg CPC × 3.</t>
  </si>
  <si>
    <t>Observed: {num_waste_terms} search term(s) with spend &gt; avg CPC × 3 (${threshold}) and zero conversions. Waste spend: ${waste_spend} ({pct_waste}% of total search spend).</t>
  </si>
  <si>
    <t>Unmanaged waste terms signal incomplete negative keyword governance. Budget on zero-conversion terms inflates ACoS with no offsetting return.</t>
  </si>
  <si>
    <t>Add zero-conversion waste terms as negative keywords to the relevant campaigns or shared exclusion lists.</t>
  </si>
  <si>
    <t>Tab 10_Search_Terms_Report (SearchTerm, Cost, Conversions) + Tab 02_Date_Range_KPIs (CPC for threshold)</t>
  </si>
  <si>
    <t>F011</t>
  </si>
  <si>
    <t>Negative Keyword Coverage</t>
  </si>
  <si>
    <t>Verify Search campaigns have active keyword-type negatives assigned.</t>
  </si>
  <si>
    <t>Campaigns without negatives have uncontrolled query routing and irrelevant traffic at scale.</t>
  </si>
  <si>
    <t>FLAG if no keyword-type negatives found across any Search campaign. PARTIAL if coverage exists but incomplete. OK if keyword negatives present.</t>
  </si>
  <si>
    <t>Observed: {num_kw_negatives} keyword negative(s) across {num_campaigns_with_negatives} campaign(s). {listing_group_note}.</t>
  </si>
  <si>
    <t>Campaigns without keyword negatives route spend to irrelevant queries indiscriminately — inflating cost, reducing CVR, and making optimization gains harder to isolate.</t>
  </si>
  <si>
    <t>Add shared negative keyword lists and assign to all active Search and Shopping campaigns. Prioritize adding negatives for top waste terms identified in F010.</t>
  </si>
  <si>
    <t>Tab 28_Negative_Keywords (Keyword, MatchType, Type, CampaignId)</t>
  </si>
  <si>
    <t>Budget &amp; Bid Strategy</t>
  </si>
  <si>
    <t>F012</t>
  </si>
  <si>
    <t>Budget Concentration — PMAX Dominance</t>
  </si>
  <si>
    <t>Evaluate PMAX spend share vs Search spend share to identify black-box concentration risk.</t>
  </si>
  <si>
    <t>PMAX dominance without Search means a black-box account with no query-level visibility or control.</t>
  </si>
  <si>
    <t>FLAG if PMAX spend share &gt; 85% and Search &lt; 5%. PARTIAL if PMAX &gt; 70% and Search &lt; 10%. OK if balance maintained.</t>
  </si>
  <si>
    <t>Observed: PMAX = {pmax_pct}% of spend, Search = {search_pct}% of spend. Channel breakdown: {channel_breakdown}.</t>
  </si>
  <si>
    <t>PMAX without Search creates a black-box account where no query-level data surfaces. The account loses the ability to identify converting terms, manage negatives, or defend brand queries.</t>
  </si>
  <si>
    <t>Introduce or scale Search campaigns alongside PMAX to maintain query-level visibility. Target at least 15% of spend in Search.</t>
  </si>
  <si>
    <t>Tab 07_Campaigns_by_Channel_Type (AdvertisingChannelType, Perc_Spend, Spend)</t>
  </si>
  <si>
    <t>Creative &amp; Feed</t>
  </si>
  <si>
    <t>F013</t>
  </si>
  <si>
    <t>Ad Extensions — Sitelinks</t>
  </si>
  <si>
    <t>Verify at least 4 sitelink extensions are active at the account or campaign level.</t>
  </si>
  <si>
    <t>Fewer than 4 sitelinks reduce ad real estate and limit navigation for high-intent users.</t>
  </si>
  <si>
    <t>Manual check: Google Ads &gt; Assets &gt; Sitelinks. Count active, approved sitelinks. FLAG if &lt; 4. PARTIAL if 2–3. OK if ≥ 4.</t>
  </si>
  <si>
    <t>Manual review required. Check Google Ads Assets &gt; Sitelinks for count and approval status.</t>
  </si>
  <si>
    <t>Fewer than 4 sitelinks reduce ad quality score, limit ad size, and miss CTR improvement opportunity.</t>
  </si>
  <si>
    <t>Add or activate sitelink extensions to reach minimum 4 at account level. Ensure all are approved.</t>
  </si>
  <si>
    <t>F014</t>
  </si>
  <si>
    <t>Ad Extensions — Structured Snippets</t>
  </si>
  <si>
    <t>Verify structured snippet extensions are present on active campaigns.</t>
  </si>
  <si>
    <t>Missing snippets reduce ad completeness and relevance signals for category-based queries.</t>
  </si>
  <si>
    <t>Manual check: Google Ads &gt; Assets &gt; Structured Snippets. FLAG if none present. OK if ≥ 1.</t>
  </si>
  <si>
    <t>Manual review required. Check Google Ads Assets &gt; Structured Snippets.</t>
  </si>
  <si>
    <t>Missing snippets leave ad copy incomplete and reduce relevance signals — lowering ad strength and impression share.</t>
  </si>
  <si>
    <t>Add structured snippets relevant to the account's product categories.</t>
  </si>
  <si>
    <t>F015</t>
  </si>
  <si>
    <t>Ad Extensions — Callouts</t>
  </si>
  <si>
    <t>Verify callout extensions are present on active campaigns.</t>
  </si>
  <si>
    <t>Missing callouts leave available messaging space unused and reduce competitive ad strength.</t>
  </si>
  <si>
    <t>Manual check: Google Ads &gt; Assets &gt; Callouts. FLAG if none. OK if ≥ 1.</t>
  </si>
  <si>
    <t>Manual review required. Check Google Ads Assets &gt; Callouts.</t>
  </si>
  <si>
    <t>Missing callouts reduce available ad space and competitive ad strength in auctions.</t>
  </si>
  <si>
    <t>Add callout extensions highlighting key value propositions (free shipping, returns policy, etc.).</t>
  </si>
  <si>
    <t>F016</t>
  </si>
  <si>
    <t>Business Name Configured</t>
  </si>
  <si>
    <t>Verify business name asset is configured at account or campaign level.</t>
  </si>
  <si>
    <t>Missing business name reduces ad credibility and quality signals.</t>
  </si>
  <si>
    <t>Manual check: Google Ads &gt; Assets &gt; Business Name. FLAG if none. OK if present and approved.</t>
  </si>
  <si>
    <t>Manual review required. Check Google Ads Assets &gt; Business Name.</t>
  </si>
  <si>
    <t>Missing business name is a basic quality gap that reduces trust signals for new users.</t>
  </si>
  <si>
    <t>Add an approved business name asset at account level.</t>
  </si>
  <si>
    <t>F017</t>
  </si>
  <si>
    <t>Logos Approved</t>
  </si>
  <si>
    <t>Verify at least one approved logo/image asset is active in PMAX asset groups.</t>
  </si>
  <si>
    <t>Missing logo defaults PMAX Display ads to text-only, reducing brand presence and ad quality.</t>
  </si>
  <si>
    <t>Proxy via Tab 30: FLAG if no ENABLED assets with FieldType in (MARKETING_IMAGE, SQUARE_MARKETING_IMAGE, PORTRAIT_MARKETING_IMAGE) and PolicyApprovalStatus = APPROVED. OK if ≥ 1 found.</t>
  </si>
  <si>
    <t>Observed: {num_approved_images} approved image asset(s) found in active asset groups (FieldType: MARKETING_IMAGE / SQUARE / PORTRAIT).</t>
  </si>
  <si>
    <t>PMAX without approved image assets cannot serve visual ad formats — eliminating Display and YouTube inventory entirely.</t>
  </si>
  <si>
    <t>Upload and submit at least one logo/image asset for each active PMAX asset group. Ensure PolicyApprovalStatus = APPROVED.</t>
  </si>
  <si>
    <t>Tab 30_Google_Assets_Extensions (FieldType, PolicyApprovalStatus, Status)</t>
  </si>
  <si>
    <t>F018</t>
  </si>
  <si>
    <t>Ad Strength</t>
  </si>
  <si>
    <t>Evaluate ad strength distribution across active PMAX asset groups.</t>
  </si>
  <si>
    <t>Poor ad strength across all asset groups reduces auction competitiveness and increases CPC.</t>
  </si>
  <si>
    <t>Proxy via Tab 30 PerformanceLabel: FLAG if all active assets show LOW only with no GOOD or BEST. PARTIAL if mixed with no BEST. OK if ≥ 1 BEST or GOOD present.</t>
  </si>
  <si>
    <t>Observed (asset-level proxy): BEST = {num_best}, GOOD = {num_good}, PENDING = {num_pending}, LOW = {num_low} across active asset group assets.</t>
  </si>
  <si>
    <t>Poor ad strength signals insufficient asset variety — Google's auction system deprioritizes asset groups with low diversity, reducing impression share.</t>
  </si>
  <si>
    <t>Add more asset variety to PMAX asset groups: additional headlines, descriptions, images, and video assets to improve ad strength to Good or Excellent.</t>
  </si>
  <si>
    <t>Tab 30_Google_Assets_Extensions (PerformanceLabel, Status)</t>
  </si>
  <si>
    <t>F019</t>
  </si>
  <si>
    <t>Quartile Keyword Expander Enabled</t>
  </si>
  <si>
    <t>Verify Keyword Expander is enabled for active Search campaigns in the QT Portal.</t>
  </si>
  <si>
    <t>Keyword Expander disabled means the account is not benefiting from QT's automated expansion logic.</t>
  </si>
  <si>
    <t>Manual check: QT Portal &gt; Google Channel &gt; Keyword Expander. FLAG if disabled. OK if enabled.</t>
  </si>
  <si>
    <t>Manual review required. Check QT Portal &gt; Google Channel &gt; Keyword Expander status.</t>
  </si>
  <si>
    <t>Keyword Expander disabled removes one of QT's core automation advantages for Search, limiting growth potential.</t>
  </si>
  <si>
    <t>Enable Keyword Expander for all active Search campaigns in QT Portal.</t>
  </si>
  <si>
    <t>QT Portal — Manual Check</t>
  </si>
  <si>
    <t>Audience &amp; Funnel</t>
  </si>
  <si>
    <t>F020</t>
  </si>
  <si>
    <t>PMAX Audience Requirements</t>
  </si>
  <si>
    <t>Verify each active PMAX asset group has at minimum: one custom segment and one remarketing audience.</t>
  </si>
  <si>
    <t>PMAX without audience signals operates in pure query-matching mode with no behavioral layering.</t>
  </si>
  <si>
    <t>Manual check: Google Ads &gt; Campaigns &gt; PMax &gt; Asset Groups &gt; Audiences. FLAG if no custom segment AND no remarketing audience. PARTIAL if only one present. OK if both applied.</t>
  </si>
  <si>
    <t>Manual review required. Verify audience configuration in Google Ads for each active PMAX asset group.</t>
  </si>
  <si>
    <t>PMAX without custom segments and remarketing lacks the behavioral signal layer needed to prioritize high-value users — reducing efficiency and NCA quality.</t>
  </si>
  <si>
    <t>Add at minimum: one custom intent segment and one remarketing list to each active PMAX asset group.</t>
  </si>
  <si>
    <t>F021</t>
  </si>
  <si>
    <t>PMAX Search Themes</t>
  </si>
  <si>
    <t>Verify each active PMAX asset group has at least 10 Search Themes configured.</t>
  </si>
  <si>
    <t>Fewer than 10 Search Themes gives Google insufficient intent signal to guide PMAX toward relevant queries.</t>
  </si>
  <si>
    <t>Manual check: Google Ads &gt; Campaigns &gt; PMax &gt; Asset Groups &gt; Search Themes. FLAG if &lt; 10. PARTIAL if 5–9. OK if ≥ 10.</t>
  </si>
  <si>
    <t>Manual review required. Count Search Themes per active PMAX asset group in Google Ads.</t>
  </si>
  <si>
    <t>Fewer than 10 search themes leaves PMAX search intent guidance underdeveloped — Google defaults to broader and less efficient query matching.</t>
  </si>
  <si>
    <t>Add at least 10 Search Themes per PMAX asset group, aligned with the account's top product categories and branded terms.</t>
  </si>
  <si>
    <t>F022</t>
  </si>
  <si>
    <t>Match Type Governance — EXACT Coverage</t>
  </si>
  <si>
    <t>Check whether EXACT match represents at least 10% of the total keyword mix across all Search campaigns.</t>
  </si>
  <si>
    <t>Without sufficient EXACT coverage, the account cannot enforce precise query control on high-value terms.</t>
  </si>
  <si>
    <t>FLAG if EXACT match keywords &lt; 10% of total keyword count. OK if EXACT &gt;= 10%.</t>
  </si>
  <si>
    <t>Observed: EXACT = {pct_exact}%, BROAD = {pct_broad}%, PHRASE = {pct_phrase}% of {total_keywords} total keywords.</t>
  </si>
  <si>
    <t>An account with insufficient EXACT coverage relies entirely on Google's query matching to decide which searches trigger ads — removing precision control on high-value, high-CVR terms.</t>
  </si>
  <si>
    <t>Add EXACT match versions of the account's highest-converting search terms. Priority: branded terms, top product queries, high-CVR terms from Tab 10.</t>
  </si>
  <si>
    <t>Companion to F007 (BROAD excess check). Both can FLAG independently. EXACT &lt; 10% = FLAG. Binary — no partial range.</t>
  </si>
  <si>
    <t>53588A - US - ZooPro — Framework Analysis</t>
  </si>
  <si>
    <t xml:space="preserve">Framework Version &gt; </t>
  </si>
  <si>
    <t>Google v1.0</t>
  </si>
  <si>
    <t>Account &gt;</t>
  </si>
  <si>
    <t>Account: 9B2AD3 - US - Greestone - seller | Tenant ID: 69ece8e2-28ed-4919-a7a7-b81ede84d5d5 | Account ID: 1425191550341661</t>
  </si>
  <si>
    <t xml:space="preserve">Evaluation Window &gt; </t>
  </si>
  <si>
    <t>2025-12-31 to 2026-01-30 (30 days)</t>
  </si>
  <si>
    <t xml:space="preserve">Download Date &gt; </t>
  </si>
  <si>
    <t>Framework Grade</t>
  </si>
  <si>
    <t>Interpretation</t>
  </si>
  <si>
    <t>Key Findings (Prioritized) — include all FLAG / PARTIAL controls (no max items)</t>
  </si>
  <si>
    <t>Status</t>
  </si>
  <si>
    <t>Penalty Applied</t>
  </si>
  <si>
    <t>Start Score</t>
  </si>
  <si>
    <t>Bands</t>
  </si>
  <si>
    <t>Priority (Points Lost)</t>
  </si>
  <si>
    <t>Impact Magnitude</t>
  </si>
  <si>
    <t xml:space="preserve">Interpretation </t>
  </si>
  <si>
    <t>Total Penalty</t>
  </si>
  <si>
    <t>75–100 = Is Compliant</t>
  </si>
  <si>
    <t>Critical</t>
  </si>
  <si>
    <t>Is Compliant</t>
  </si>
  <si>
    <t>The account framework is compliant. Core governance controls are correctly configured, enabling stable optimization and scalable performance.</t>
  </si>
  <si>
    <t>Final Score</t>
  </si>
  <si>
    <t>40–&lt;75 = Need Improvement</t>
  </si>
  <si>
    <t>High</t>
  </si>
  <si>
    <t>Need Improvement</t>
  </si>
  <si>
    <t>Structural deviations were identified that limit full system governance. Remediation is required before scaling.</t>
  </si>
  <si>
    <t>&lt;40 = Non-Compliant</t>
  </si>
  <si>
    <t>Non-Compliant</t>
  </si>
  <si>
    <t>Critical framework gaps were identified that materially restrict system control and optimization. Immediate remediation is required prior to any scaling activity.</t>
  </si>
  <si>
    <t>Partial weighting</t>
  </si>
  <si>
    <t>PARTIAL uses 50% of Priority</t>
  </si>
  <si>
    <t>Medium</t>
  </si>
  <si>
    <t>Low</t>
  </si>
  <si>
    <t>Visibility</t>
  </si>
  <si>
    <t>WHAT — Full Specification for Engineering</t>
  </si>
  <si>
    <t>SCOPE: All campaigns where State = 'enabled' (Tab 35_Google_Campaign_Settings) that have Total Spend &gt; $0 in the evaluation window (Tab 12_Campaign_Gold_Metrics, aggregated by CampaignId).
CHECK: For each qualifying campaign, evaluate whether CampaignName starts with the string 'QT_' (case-insensitive). A campaign passes if and only if the first 3 characters of CampaignName match 'QT_'.
EXCLUSIONS: Campaigns with State = 'paused' or 'removed' are excluded entirely regardless of historical spend. Campaigns with State = 'enabled' but zero spend in the window are excluded from scoring but should be listed in notes.
THRESHOLDS:
  → OK      : 0 campaigns with spend fail the QT_ prefix check
  → PARTIAL : 1–10% of qualifying campaigns fail (rounded up)
  → FLAG    : &gt;10% of qualifying campaigns fail
OUTPUT REQUIRED:
  - Total ENABLED campaigns with spend in window (integer)
  - Count of non-compliant campaigns (integer)
  - List of non-compliant campaign names (up to 5 examples, truncated if more)
  - Percentage non-compliant (1 decimal)
DATA SOURCES:
  - Tab 35_Google_Campaign_Settings: CampaignName, State, IsEnabled
  - Tab 12_Campaign_Gold_Metrics: CampaignId, Cost (aggregated as TotalCost per CampaignId)
  - Join key: CampaignId</t>
  </si>
  <si>
    <t>SCOPE: All ENABLED campaigns (State = 'enabled', Tab 35) with Spend &gt; $0 in window that already pass the QT_ prefix check (CampaignName starts with 'QT_'). If F001 already returned FLAG due to no QT_ campaigns present, this control should return FLAG with note "No QT_-prefixed campaigns found — cannot evaluate campaign type token."
CHECK: Split CampaignName by underscore ('_'). Take the second segment (index 1 after split). Check whether this token matches any value in the approved campaign type list (case-insensitive exact match).
APPROVED CAMPAIGN TYPE TOKENS (exact match, case-insensitive):
  Pmax, PmaxFeed, PmaxAssets, PmaxNCA, PmaxNCAFeed, PmaxNCAAssets, PmaxLocal,
  Search, SearchDSA, SearchDSAPagefeed, SearchDSAPagefeedNCA, SearchNCA,
  Shopping, ShoppingLIA, ShoppingSQF,
  DemandGen, Display, YouTube
EDGE CASES:
  - If CampaignName contains fewer than 2 underscore-separated segments, it fails this check.
  - If the second segment is empty after split (e.g., 'QT__General'), it fails.
  - Partial matches do NOT count (e.g., 'pmaxfeed2' is not valid — must be exact).
THRESHOLDS:
  → OK      : 0 campaigns have an invalid/missing campaign type token
  → PARTIAL : 1–20% of QT_-prefixed campaigns have invalid token
  → FLAG    : &gt;20% have invalid token OR token completely absent from name
OUTPUT REQUIRED:
  - Count of QT_-prefixed campaigns evaluated (integer)
  - Count with invalid or missing campaign type token (integer)
  - List of invalid campaigns and their detected second-segment token (up to 5 examples)
  - Percentage invalid (1 decimal)
DATA SOURCES:
  - Tab 35_Google_Campaign_Settings: CampaignName, State
  - Tab 12_Campaign_Gold_Metrics: CampaignId, Cost</t>
  </si>
  <si>
    <t>SCOPE: All ENABLED campaigns (State = 'enabled', Tab 35) with Spend &gt; $0 in window that already have a valid QT_ prefix AND a valid campaign type token (pass F001 and F002). The strategy tag is the third segment (index 2) when splitting CampaignName by underscore. This segment is OPTIONAL — campaigns with only 2 segments (QT_CampaignType) are considered valid and pass this check automatically.
CHECK: If a third segment exists, check whether it matches any value in the approved strategy tag list (case-insensitive exact match).
APPROVED STRATEGY TAGS (exact match, case-insensitive):
  General, TopProducts, LowPerformers, Zombie, Suppression, ShopifyTop
EDGE CASES:
  - If CampaignName has exactly 2 underscore-separated segments (e.g., 'QT_Pmax'), the strategy tag is absent — this is valid, passes as OK.
  - If a third segment exists but is empty (e.g., 'QT_Pmax__'), it fails.
  - Segments 4 and beyond (Category, Audience, AdditionalInfo) are NOT validated in this control — they are free-text. Only segment 3 is checked here.
  - Campaigns with 3+ segments where segment 3 does not match the approved list → FLAG for that campaign.
THRESHOLDS:
  → OK      : 0 campaigns have an invalid strategy tag (absent = valid)
  → PARTIAL : 1–20% of campaigns with 3+ segments have invalid strategy tag
  → FLAG    : &gt;20% have invalid strategy tag
OUTPUT REQUIRED:
  - Count of campaigns with 3+ segments evaluated for strategy tag (integer)
  - Count with invalid strategy tag (integer)
  - List of invalid campaigns and their detected third-segment token (up to 5 examples)
  - Count of campaigns with only 2 segments (valid, skipped) — include in notes
DATA SOURCES:
  - Tab 35_Google_Campaign_Settings: CampaignName, State
  - Tab 12_Campaign_Gold_Metrics: CampaignId, Cost</t>
  </si>
  <si>
    <t xml:space="preserve">SCOPE: All ENABLED campaigns (State = 'enabled') where AdvertisingChannelType = 'SEARCH' (or 'search' — normalize to uppercase). Source: Tab 13_Campaign_Metadata.
CHECK: For each qualifying Search campaign, read the field TargetContentNetwork. This field is a boolean. The expected value is False (display expansion OFF). A campaign fails if TargetContentNetwork = True.
FIELD BEHAVIOR:
  - TargetContentNetwork = True  → Display expansion is ON → FAIL
  - TargetContentNetwork = False → Display expansion is OFF → PASS
  - TargetContentNetwork = NULL  → Treat as False (default Google behavior is off) → PASS with note
THRESHOLDS:
  → OK      : 0 ENABLED Search campaigns have TargetContentNetwork = True
  → FLAG    : 1 or more ENABLED Search campaigns have TargetContentNetwork = True
  (No PARTIAL — this is a binary governance check: either display expansion is on or it isn't)
OUTPUT REQUIRED:
  - Total ENABLED Search campaigns evaluated (integer)
  - Count with TargetContentNetwork = True (integer)
  - List of campaign names with TargetContentNetwork = True (all, not truncated — this is critical)
  - Count with NULL value (for notes)
DATA SOURCES:
  - Tab 13_Campaign_Metadata: CampaignId, CampaignName, AdvertisingChannelType, TargetContentNetwork, State/IsEnabled
  - Join to Tab 12_Campaign_Gold_Metrics if spend filter is needed (optional — this check applies to all ENABLED Search campaigns regardless of spend)
IMPORTANT: TargetContentNetwork was not available in older export formats. If column is absent entirely from Tab 13, return PARTIAL with note: "TargetContentNetwork field not found in Tab 13 — manual verification required in Google Ads."  </t>
  </si>
  <si>
    <t>SCOPE: All ENABLED campaigns (State = 'enabled', Tab 35) regardless of spend.
CHECK: Identify campaigns whose names contain promotional event keywords AND whose StartDate is more than 60 days before the export's evaluation window end date (ctx.window_end). These are campaigns that appear to still be running after their promotional event has passed.
PROMOTIONAL KEYWORD PATTERNS (case-insensitive, match anywhere in campaign name):
  sale, promo, promotion, holiday, blackfriday, black_friday, cyber, cybermonday, 
  bfcm, seasonal, clearance, discount, flash, event, laborday, memorialday,
  mothersday, fathersday, valentines, halloween, thanksgiving, christmas, xmas,
  primetime, primeday
DATE LOGIC:
  - Evaluate: (ctx.window_end - StartDate).days &gt; 60
  - If StartDate is null/missing → skip that campaign and add to notes
  - If ctx.window_end is null → use the current date as fallback
THRESHOLDS:
  → OK      : 0 ENABLED campaigns match both the promotional keyword pattern AND the &gt;60 days condition
  → FLAG    : 1 or more campaigns match both conditions
OUTPUT REQUIRED:
  - Count of ENABLED campaigns with promotional naming found (integer)
  - Count that are stale (&gt;60 days since StartDate) (integer)
  - List of stale promo campaign names, their StartDate, and days since start (all, not truncated)
  - The promo keyword that triggered the match (for traceability)
DATA SOURCES:
  - Tab 35_Google_Campaign_Settings: CampaignName, StartDate, State, IsEnabled</t>
  </si>
  <si>
    <t>SCOPE: All ENABLED campaigns where AdvertisingChannelType = 'PERFORMANCE_MAX'. Source: Tab 35_Google_Campaign_Settings or Tab 13_Campaign_Metadata.
CHECK: This is a MANUAL-only control. No field in the Databricks export captures PMAX automation settings state (auto-created assets toggle, store goals, URL expansion settings). The agent cannot automate this check.
WHAT THE REVIEWER MUST CHECK IN GOOGLE ADS:
  1. Navigate to: Campaigns &gt; [each active PMAX campaign] &gt; Settings
  2. Under "Automatically created assets": confirm "Use my assets" is unchecked OR set to Off
  3. Under "Final URL expansion": confirm it is set to Off
  4. Under "Store goals": confirm store conversion goals are not automatically applied
  5. Check for any auto-apply recommendation rules that may affect PMAX campaigns
EXPECTED STATE (per QT governance):
  - Auto-created assets: OFF
  - Final URL expansion: OFF
  - Store goals auto-apply: OFF
  - No Google-driven asset changes active
AGENT BEHAVIOR: Always return STATUS = OK with the reviewer instruction as the What We Saw message. This control is never scored against the account — it is a manual checklist item surfaced at every QR.
DATA SOURCES: None — Google Ads UI manual check required
EXPORT TAB: Not available in any current Databricks export tab</t>
  </si>
  <si>
    <t>SCOPE: All keyword records in Tab 09_Keyword_Report where the associated campaign is ENABLED (join on CampaignId to Tab 35 or Tab 13 to filter by State = 'enabled'). If join is not feasible due to missing CampaignId, evaluate all rows in Tab 09.
CHECK: Count keywords by MatchType value. Normalize MatchType to uppercase. Expected values: BROAD, EXACT, PHRASE. Any other value (e.g., null, UNKNOWN) should be counted separately.
CALCULATE:
  - total_keywords = COUNT of all keyword rows in scope
  - broad_count    = COUNT where MatchType = 'BROAD'
  - exact_count    = COUNT where MatchType = 'EXACT'
  - phrase_count   = COUNT where MatchType = 'PHRASE'
  - broad_pct      = broad_count / total_keywords
  - exact_pct      = exact_count / total_keywords
  - phrase_pct     = phrase_count / total_keywords
THRESHOLDS:
  → OK      : exact_pct &gt;= 10% of total keyword mix
  → PARTIAL : exact_pct &gt;= 5% and &lt; 10%
  → FLAG    : exact_pct &lt; 5% (effectively BROAD-only account)
SECONDARY CHECK — Branded campaign match type:
  Identify keywords in campaigns with Brand/TM/SKW in campaign name.
  These should be exclusively EXACT match. If any branded campaign keywords are BROAD, add a note to the output (does not change status, but is surfaced as a finding).
OUTPUT REQUIRED:
  - Total keywords evaluated (integer)
  - BROAD count and percentage (integer, 1 decimal %)
  - EXACT count and percentage (integer, 1 decimal %)
  - PHRASE count and percentage (integer, 1 decimal %)
  - Any branded campaign keywords that are BROAD match (list, for notes)
DATA SOURCES:
  - Tab 09_Keyword_Report: Keyword/TargetText, MatchType, CampaignName, CampaignId, State/Status</t>
  </si>
  <si>
    <t>SCOPE: This is primarily a MANUAL check — the QT Portal's branded terms upload state is not exposed in any Databricks export tab. However, a proxy check is available via the Keyword Report.
PROXY CHECK (automated component):
  In Tab 09_Keyword_Report, identify keywords in campaigns where CampaignName contains any of: 
  'TM', 'SKW', 'Brand', 'Branded', 'Trademark' (token-based match after splitting name by '_').
  If such keywords exist and the associated campaigns have Spend &gt; $0 (join to Tab 12), 
  this is evidence that branded terms are present in the account structure.
MANUAL CHECK (required regardless of proxy result):
  The reviewer must log into QT Portal &gt; Google Channel &gt; Branded Terms and verify:
  1. The list of branded search terms is populated
  2. All known trademarked terms are included
  3. The upload is current (not from a stale import)
  4. Match type configuration for branded terms is EXACT
AGENT BEHAVIOR:
  - If proxy detects TM/SKW/Brand campaign with spend → STATUS = OK with note: "Branded Search campaign detected with spend — QT Portal TM terms upload requires manual verification."
  - If no branded campaign with spend found → STATUS = FLAG with note: "No branded Search campaign with spend detected. QT Portal branded terms upload cannot be confirmed — manual check required."
OUTPUT REQUIRED:
  - Whether a TM/Brand/SKW Search campaign was found (yes/no)
  - Campaign name and spend of the detected branded campaign (if any)
  - Manual reviewer instruction (always included)
DATA SOURCES:
  - Tab 09_Keyword_Report: CampaignName (for TM/Brand/SKW token detection)
  - Tab 12_Campaign_Gold_Metrics or Tab 06_Campaign_Report: CampaignName, Spend (for spend confirmation)
  - QT Portal: Manual verification</t>
  </si>
  <si>
    <t>SCOPE: All campaigns where AdvertisingChannelType = 'SEARCH' that are ENABLED (State = 'enabled', Tab 35 or Tab 13).
CHECK: Identify whether at least one ENABLED Search campaign exists whose name contains a branded campaign token AND has Spend &gt; $0 in the evaluation window.
BRANDED CAMPAIGN DETECTION — Token-based matching:
  Split CampaignName by underscore ('_'). Check each token against the following branded identifiers (case-insensitive exact match per token):
    TM, SKW, Brand, Branded, Trademark
  Also check for partial string match anywhere in name (fallback): 
    'brand', 'trademark', '_tm_', '_skw_'
  A campaign qualifies as branded if ANY token matches OR the fallback string pattern matches.
SPEND CHECK:
  Join to Tab 12_Campaign_Gold_Metrics on CampaignId. Sum Cost for the evaluation window.
  A branded Search campaign with Spend = 0 → PARTIAL (campaign exists but not serving).
  A branded Search campaign with Spend &gt; 0 → OK.
  No branded Search campaign found at all → FLAG.
THRESHOLDS:
  → OK      : At least 1 ENABLED branded Search campaign found with Spend &gt; $0
  → PARTIAL : Branded Search campaign exists but has Spend = 0 in window
  → FLAG    : No campaign matching branded detection criteria found among ENABLED Search campaigns
OUTPUT REQUIRED:
  - Whether branded Search campaign detected (yes/no)
  - Campaign name(s) detected (list all matching, not just first)
  - Spend for each detected campaign in the evaluation window ($)
  - AdvertisingChannelType confirmed as SEARCH (for verification)
DATA SOURCES:
  - Tab 35_Google_Campaign_Settings or Tab 13_Campaign_Metadata: CampaignName, AdvertisingChannelType, State
  - Tab 12_Campaign_Gold_Metrics: CampaignId, Cost (aggregated as TotalCost per CampaignId)
  - Tab 06_Campaign_Report: CampaignName, CampaignStatus, Cost (fallback if Tab 13 unavailable)</t>
  </si>
  <si>
    <t>SCOPE: All rows in Tab 10_Search_Terms_Report for the evaluation window.
WASTE THRESHOLD CALCULATION:
  Step 1: Get avg_cpc from Tab 02_Date_Range_KPIs, field CPC. If CPC is unavailable or zero, use fallback = $0.50.
  Step 2: Calculate waste_threshold = avg_cpc × 3
  Step 3: For each search term row: a term is "waste" if Cost &gt; waste_threshold AND Conversions = 0 (or null).
AGGREGATION:
  If the same SearchTerm appears in multiple rows (e.g., different campaigns/ad groups), aggregate Cost and Conversions per SearchTerm before applying the waste threshold.
CALCULATE:
  - total_search_spend  = SUM of all Cost in Tab 10
  - waste_terms         = list of SearchTerms where aggregated Cost &gt; waste_threshold AND Conversions = 0
  - waste_spend         = SUM of Cost for waste_terms
  - waste_pct           = waste_spend / total_search_spend (if total &gt; 0, else 0)
THRESHOLDS:
  → OK      : waste_pct &lt; 5%
  → PARTIAL : waste_pct &gt;= 5% and &lt; 15%
  → FLAG    : waste_pct &gt;= 15%
NOTE ON PRIORITY: This control has Priority = 0 (Visibility-only). It does not apply a score penalty. It is always surfaced in the findings table as an action item, but does not affect the Framework score. This is intentional — waste exists in nearly every account and is expected to be managed continuously.
OUTPUT REQUIRED:
  - avg_cpc used ($ with 2 decimals) and whether it came from Tab 02 or fallback
  - waste_threshold used ($, 2 decimals)
  - Count of waste search terms (integer)
  - waste_spend ($ formatted)
  - waste_pct (%, 1 decimal)
  - Top 10 waste terms sorted by Cost descending: [SearchTerm, Cost, Conversions]
DATA SOURCES:
  - Tab 10_Search_Terms_Report: SearchTerm, Cost, Conversions, CampaignName (for context)
  - Tab 02_Date_Range_KPIs: CPC (for threshold calculation)</t>
  </si>
  <si>
    <t>SCOPE: Tab 28_Negative_Keywords — all rows in the export for the account.
DATA STRUCTURE UNDERSTANDING:
  Tab 28 contains multiple types of exclusion entries identified by the 'Type' column. 
  Values include: KEYWORD, LISTING_GROUP, WEBPAGE, and potentially others.
  For this control, ONLY rows where Type = 'KEYWORD' are relevant.
  LISTING_GROUP exclusions (product-level exclusions) do NOT satisfy this check — they are a different mechanism.
  WEBPAGE exclusions (for DSA) also do NOT satisfy this check.
CHECK LOGIC:
  Step 1: Filter Tab 28 to rows where Type = 'KEYWORD' (case-insensitive).
  Step 2: Further filter to rows where Keyword (or TargetText) is not null and not empty string.
  Step 3: Count distinct valid keyword negatives.
  Step 4: Count distinct CampaignIds that have at least one keyword negative.
CAMPAIGN COVERAGE:
  Additionally, identify ENABLED Search campaigns (from Tab 35 or Tab 13) that have Spend &gt; $0 and check how many of them appear in the negative keyword tab. Campaigns with spend but no negatives at all are a secondary finding.
THRESHOLDS:
  → OK      : At least 1 keyword-type negative found AND at least 50% of ENABLED Search campaigns with spend have at least one negative
  → PARTIAL : Keyword negatives exist but fewer than 50% of active Search campaigns are covered, OR keyword negatives found only at account level (no campaign-level assignment visible)
  → FLAG    : Zero rows with Type = 'KEYWORD' found in Tab 28, OR Tab 28 is empty or absent
IMPORTANT EDGE CASE: Shared negative keyword lists assigned via the Google Ads UI do not always appear in the export. If Tab 28 is populated only with LISTING_GROUP rows and no KEYWORD rows, return PARTIAL with note: "Tab 28 contains {n} listing group exclusions but zero keyword negatives. Shared negative keyword lists may be in use — manual verification in Google Ads &gt; Negative Keywords required."
OUTPUT REQUIRED:
  - Total rows in Tab 28 (integer)
  - Rows where Type = 'KEYWORD' (integer)
  - Rows where Type = 'LISTING_GROUP' (integer, for context)
  - Count of unique keyword negatives (integer)
  - Count of ENABLED Search campaigns with spend that have at least one keyword negative (integer / total ENABLED Search campaigns with spend)
  - List of ENABLED Search campaigns with spend but ZERO negatives (up to 5 examples)
DATA SOURCES:
  - Tab 28_Negative_Keywords: Keyword/TargetText, Type, MatchType, CampaignId, CampaignName
  - Tab 35 or Tab 13: for list of ENABLED campaigns
  - Tab 12: for spend filter</t>
  </si>
  <si>
    <t>SCOPE: Tab 07_Campaigns_by_Channel_Type — this tab provides pre-aggregated spend by AdvertisingChannelType for the evaluation window.
CHECK: Read the spend distribution across channel types. Calculate the percentage each channel type represents of total account spend.
FIELD USAGE:
  - Use Perc_Spend field if available (already a decimal or percentage — check if values are 0–1 or 0–100 and normalize accordingly).
  - If Perc_Spend is absent or all null, calculate from Spend field: pct = channel_spend / total_spend.
  - AdvertisingChannelType values to expect (normalize to uppercase): PERFORMANCE_MAX, SEARCH, SHOPPING, DISPLAY, DEMAND_GEN, VIDEO, DISCOVERY.
KEY METRICS:
  - pmax_pct   = percentage of total spend attributed to PERFORMANCE_MAX
  - search_pct = percentage of total spend attributed to SEARCH
THRESHOLDS:
  → OK      : pmax_pct &lt;= 70% OR search_pct &gt;= 10%
  → PARTIAL : pmax_pct &gt; 70% AND search_pct &lt; 10% AND pmax_pct &lt;= 85%
  → FLAG    : pmax_pct &gt; 85% AND search_pct &lt; 5%
NOTE ON PRIORITY: This control has Priority = 0 (Visibility-only). It does not apply a score penalty. It is a strategic signal surfaced for the reviewer — whether PMAX concentration is intentional is a strategy call, not a governance violation. The agent surfaces the data; the QR reviewer interprets it.
OUTPUT REQUIRED:
  - Full channel breakdown: [AdvertisingChannelType, Spend ($), Percentage (%)] for all channels with Spend &gt; 0
  - pmax_pct (%, 1 decimal)
  - search_pct (%, 1 decimal)
  - Total account spend in window ($)
DATA SOURCES:
  - Tab 07_Campaigns_by_Channel_Type: AdvertisingChannelType, Spend, Perc_Spend</t>
  </si>
  <si>
    <t>SCOPE: This is a MANUAL-only control. No sitelink extension data is available in any Databricks export tab for Google Ads accounts.
WHAT THE REVIEWER MUST CHECK IN GOOGLE ADS:
  1. Navigate to: Google Ads &gt; Assets &gt; Sitelinks
  2. Filter by: Status = Enabled or Approved
  3. Count distinct active sitelinks at account level AND campaign level
  4. Check that all active sitelinks have PolicyApprovalStatus = APPROVED (not Disapproved or Under Review)
  5. Verify sitelinks are assigned to the correct level (account-level sitelinks apply universally; campaign-level sitelinks override for specific campaigns)
MINIMUM REQUIREMENT (per QT CoE standard): 4 active, approved sitelinks at account level or per active campaign.
EXPECTED SITELINK CONTENT (for reviewer reference):
  Sitelinks should point to meaningful destination pages — product categories, promotions, about pages, contact — NOT the homepage.
AGENT BEHAVIOR: Always return STATUS = OK with the full reviewer instruction as the What We Saw message. This control is never scored automatically.
WHAT TO LOG IF FLAGGED BY REVIEWER:
  - Actual sitelink count found
  - How many are approved vs pending vs disapproved
  - Names/URLs of disapproved sitelinks (if any)
DATA SOURCES: None — Google Ads UI manual check required</t>
  </si>
  <si>
    <t>SCOPE: This is a MANUAL-only control. No structured snippet data is available in any Databricks export tab.
WHAT THE REVIEWER MUST CHECK IN GOOGLE ADS:
  1. Navigate to: Google Ads &gt; Assets &gt; Structured Snippets
  2. Filter by: Status = Enabled or Approved
  3. Verify at least 1 structured snippet extension is active at account level
  4. Check that snippet type is relevant to the product category (e.g., 'Product Types', 'Services', 'Styles')
  5. Confirm PolicyApprovalStatus = APPROVED for all active snippets
MINIMUM REQUIREMENT: At least 1 approved structured snippet at account level or per active campaign.
AGENT BEHAVIOR: Always return STATUS = OK with the full reviewer instruction as the What We Saw message. This control is never scored automatically.
DATA SOURCES: None — Google Ads UI manual check required</t>
  </si>
  <si>
    <t>SCOPE: This is a MANUAL-only control. No callout extension data is available in any Databricks export tab.
WHAT THE REVIEWER MUST CHECK IN GOOGLE ADS:
  1. Navigate to: Google Ads &gt; Assets &gt; Callouts
  2. Filter by: Status = Enabled or Approved
  3. Verify at least 2 callout extensions are active at account level
  4. Callouts should highlight USPs: free shipping, easy returns, X-year warranty, same-day delivery, etc.
  5. Confirm PolicyApprovalStatus = APPROVED for all active callouts
  6. Check callout character count — each callout is limited to 25 characters
MINIMUM REQUIREMENT: At least 2 approved callouts at account level.
AGENT BEHAVIOR: Always return STATUS = OK with the full reviewer instruction as the What We Saw message. This control is never scored automatically.
DATA SOURCES: None — Google Ads UI manual check required</t>
  </si>
  <si>
    <t>SCOPE: This is a MANUAL-only control. No business name asset field is available in any Databricks export tab.
WHAT THE REVIEWER MUST CHECK IN GOOGLE ADS:
  1. Navigate to: Google Ads &gt; Assets &gt; Business Name
  2. Verify at least 1 business name asset is present at account level
  3. Confirm PolicyApprovalStatus = APPROVED
  4. Check that the business name matches the actual brand/company name (not a generic placeholder)
  5. Verify it is assigned to active PMAX and Search campaigns
MINIMUM REQUIREMENT: 1 approved business name at account level.
AGENT BEHAVIOR: Always return STATUS = OK with the full reviewer instruction. Never scored automatically.
DATA SOURCES: None — Google Ads UI manual check required</t>
  </si>
  <si>
    <t>SCOPE: Tab 30_Google_Assets_Extensions — all asset rows for the account.
CHECK: Identify image assets that can serve as logos or marketing images in PMAX and Display campaigns. These are assets where FieldType matches one of the following values (case-insensitive, normalize to uppercase):
  MARKETING_IMAGE, SQUARE_MARKETING_IMAGE, PORTRAIT_MARKETING_IMAGE, LOGO, LANDSCAPE_LOGO
FILTER CONDITIONS FOR A VALID IMAGE ASSET:
  - PolicyApprovalStatus = 'APPROVED' (case-insensitive)
  - Status = 'ENABLED' (case-insensitive) OR Status is null (treat as active)
  - FieldType is one of the image types listed above
COUNT: Count rows passing all three conditions.
THRESHOLDS:
  → OK      : &gt;= 1 approved, ENABLED image/logo asset found
  → FLAG    : 0 approved ENABLED image/logo assets found
  (No PARTIAL — either at least one exists or it doesn't)
IMPORTANT CAVEAT: Tab 30 covers asset-group level assets linked to PMAX campaigns. It may not capture all account-level assets. If Tab 30 is empty or absent, return PARTIAL with note: "Assets Extensions tab not found. Manual logo verification required in Google Ads &gt; Assets &gt; Images."
OUTPUT REQUIRED:
  - Count of approved ENABLED image/logo assets found (integer)
  - Breakdown by FieldType: [FieldType, count] for all valid image assets
  - Count of disapproved image assets (if any — surfaced as a note, not a status change)
DATA SOURCES:
  - Tab 30_Google_Assets_Extensions: FieldType, PolicyApprovalStatus, Status, AssetGroupId (for context)</t>
  </si>
  <si>
    <t>SCOPE: Tab 30_Google_Assets_Extensions — all rows where Status = 'ENABLED'.
CHECK: This is a PROXY check. Tab 30 contains a PerformanceLabel field at the individual asset level (not the asset group AdStrength field). PerformanceLabel reflects how individual assets perform relative to other assets in the same group. Values: BEST, GOOD, LOW, PENDING, UNKNOWN, LEARNING.
WHAT WE ARE MEASURING:
  Count active (Status = 'ENABLED') assets by their PerformanceLabel. The distribution of labels serves as a proxy for overall ad creative health. Accounts where all assets are LOW suggest poor creative variety or insufficient asset quantity.
CALCULATE:
  - best_count    = COUNT where PerformanceLabel = 'BEST' and Status = 'ENABLED'
  - good_count    = COUNT where PerformanceLabel = 'GOOD' and Status = 'ENABLED'
  - low_count     = COUNT where PerformanceLabel = 'LOW' and Status = 'ENABLED'
  - pending_count = COUNT where PerformanceLabel in ('PENDING','LEARNING','UNKNOWN') and Status = 'ENABLED'
  - total_active  = SUM of all above
THRESHOLDS:
  → OK      : best_count &gt; 0 OR good_count &gt; 0 (at least one BEST or GOOD asset exists)
  → PARTIAL : best_count = 0 AND good_count = 0 AND pending_count &gt; 0 (all assets pending/learning, no signal yet)
  → FLAG    : best_count = 0 AND good_count = 0 AND low_count &gt; 0 AND pending_count = 0 (all rated assets are LOW)
NOTE ON PRIORITY: Priority = 0 (Visibility-only). No score penalty. This is a creative health signal for the reviewer.
LIMITATION TO SURFACE IN OUTPUT: "PerformanceLabel in Tab 30 reflects individual asset performance, not the asset group AdStrength rating. For exact AdStrength (Excellent/Good/Poor) per asset group, manual verification in Google Ads &gt; PMAX campaigns &gt; Asset Groups is required."
OUTPUT REQUIRED:
  - BEST count, GOOD count, LOW count, PENDING/LEARNING count (integers)
  - Total active assets evaluated (integer)
  - Percentage distribution per label (%, 1 decimal)
DATA SOURCES:
  - Tab 30_Google_Assets_Extensions: PerformanceLabel, Status, AssetGroupId (for context grouping)</t>
  </si>
  <si>
    <t>SCOPE: This is a MANUAL-only control. The Keyword Expander configuration is stored in the QT Portal and is not exposed in any Databricks export tab.
WHAT THE REVIEWER MUST CHECK IN QT PORTAL:
  1. Navigate to: QT Portal &gt; Google Channel &gt; Account Settings &gt; Keyword Expander
  2. Confirm Keyword Expander is set to ON / Enabled for the account
  3. Verify it is applied to all active Search campaigns (not excluded)
  4. Check for any campaigns explicitly excluded from Keyword Expander coverage and note them
MINIMUM REQUIREMENT: Keyword Expander = Enabled for the account, applied to all active Search campaigns.
AGENT BEHAVIOR: Always return STATUS = OK with the full reviewer instruction. Never scored automatically.
WHY THIS IS MANUAL: The QT Portal API does not expose Keyword Expander state in the Databricks export pipeline. A data engineering request has been logged to surface this field in the export.
DATA SOURCES: QT Portal — Manual Check</t>
  </si>
  <si>
    <t>SCOPE: All ENABLED PMAX campaigns. Specifically, all active Asset Groups within those PMAX campaigns.
CHECK: This is a MANUAL-only control. Audience configuration at the Asset Group level (custom segments, remarketing lists, customer match lists) is not captured in any Databricks export tab, including Tab 29_Google_Asset_Groups which only contains group-level metadata (name, status, primary status) without audience assignments.
WHAT THE REVIEWER MUST CHECK IN GOOGLE ADS:
  1. Navigate to: Campaigns &gt; [each active PMAX campaign] &gt; Asset Groups &gt; [each active Asset Group] &gt; Audiences
  2. Confirm each asset group has AT MINIMUM:
     a. One Custom Segment (based on search terms, URLs, or app usage) — this is the intent signal
     b. One Remarketing audience (website visitors, customer list, or YouTube audience) — this is the re-engagement signal
  3. Document which asset groups are missing either requirement
  4. Note: Customer Match lists count as remarketing for this check
EXPECTED STATE (per QT CoE standard):
  - Custom segment: present (at least 1 per asset group)
  - Remarketing list: present (at least 1 per asset group)
  - Observation mode vs targeting mode: note which mode is set for each audience
AGENT BEHAVIOR: Always return STATUS = OK with the full reviewer instruction. Never scored automatically.
DATA SOURCES: 
  - Google Ads UI — Manual Check
  - Tab 29_Google_Asset_Groups: AssetGroupName, AssetGroupStatus, PrimaryStatus (available — shows which groups are ENABLED/ELIGIBLE but not their audience configuration)</t>
  </si>
  <si>
    <t>SCOPE: All ENABLED PMAX campaigns. Specifically, all active Asset Groups within those PMAX campaigns.
CHECK: This is a MANUAL-only control. Search Theme count per Asset Group is not available in any Databricks export tab.
WHAT THE REVIEWER MUST CHECK IN GOOGLE ADS:
  1. Navigate to: Campaigns &gt; [each active PMAX campaign] &gt; Asset Groups &gt; [each active Asset Group] &gt; Search Themes
  2. Count the number of Search Themes currently assigned to each asset group
  3. Flag any asset group with fewer than 10 Search Themes
MINIMUM REQUIREMENT (per QT CoE standard): 10 Search Themes per active PMAX Asset Group.
THRESHOLDS FOR MANUAL REVIEW:
  → OK      : Each active PMAX asset group has &gt;= 10 Search Themes
  → PARTIAL : At least one asset group has 5–9 Search Themes
  → FLAG    : Any asset group has &lt; 5 Search Themes, or Search Themes are absent entirely
SEARCH THEME QUALITY GUIDANCE (for reviewer):
  Search Themes should be:
  - Product-specific (top product categories, brand names, key SKUs)
  - Intent-rich (avoid generic terms like 'buy online')
  - Aligned with the account's top-converting search terms from Tab 10
AGENT BEHAVIOR: Always return STATUS = OK with the full reviewer instruction. Never scored automatically.
DATA SOURCES:
  - Google Ads UI — Manual Check
  - Tab 29_Google_Asset_Groups: AssetGroupName, AssetGroupStatus (available — for listing which groups need checking)
  - Tab 10_Search_Terms_Report: for suggesting relevant Search Themes based on actual converting queries</t>
  </si>
  <si>
    <t>SCOPE: All keyword records in Tab 09_Keyword_Report where the associated campaign is ENABLED. Same dataset as F007 — evaluated separately.
CHECK — EXACT COVERAGE: Calculate exact_pct = EXACT count / total keyword count.
CALCULATE:
  - total_keywords = COUNT of all keyword rows in scope
  - exact_count    = COUNT where MatchType = 'EXACT'
  - exact_pct      = exact_count / total_keywords
THRESHOLD (binary):
  → FLAG : exact_pct &lt; 10% (fewer than 10% of all keywords are EXACT match)
  → OK   : exact_pct &gt;= 10%
RELATIONSHIP TO F007:
  F007 checks BROAD excess (BROAD &gt; 80% = FLAG).
  F008 checks EXACT deficit (EXACT &lt; 10% = FLAG).
  Both controls evaluate the same dataset independently. Possible outcomes:
  - Both FLAG → pure BROAD-only account, no precision control
  - F007 OK + F008 FLAG → BROAD ratio acceptable but EXACT still too low
  - F007 FLAG + F008 OK → heavily BROAD but retains some EXACT presence (unusual)
  - Both OK → healthy keyword mix
SECONDARY CHECK (surfaced as note, does not change status):
  Identify keywords in campaigns with Brand/TM/SKW tokens in campaign name that are set to BROAD match. These should be EXACT-only — list them in the output notes regardless of overall status.
OUTPUT REQUIRED:
  - Total keywords evaluated (integer)
  - EXACT count and percentage (integer, 1 decimal %)
  - BROAD count and percentage (for context)
  - PHRASE count and percentage (for context)
  - Any branded campaign keywords that are BROAD match (list, for notes)
DATA SOURCES:
  - Tab 09_Keyword_Report: MatchType, CampaignName, CampaignId
  - Tab 35_Google_Campaign_Settings: State (to filter ENABLED campaigns)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</si>
</sst>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sz val="9"/>
      <name val="Calibri"/>
      <family val="2"/>
      <scheme val="minor"/>
    </font>
    <font>
      <b/>
      <sz val="10"/>
      <color rgb="FF1E3A5F"/>
      <name val="Arial"/>
    </font>
    <font>
      <sz val="9"/>
      <color rgb="FF1A1A2E"/>
      <name val="Arial"/>
    </font>
    <font>
      <i/>
      <sz val="9"/>
      <color rgb="FF5A7A8A"/>
      <name val="Arial"/>
    </font>
    <font>
      <b/>
      <sz val="11"/>
      <color rgb="FF1E3A5F"/>
      <name val="Arial"/>
    </font>
    <font>
      <b/>
      <sz val="10"/>
      <color rgb="FFFFFFFF"/>
      <name val="Arial"/>
    </font>
  </fonts>
  <fills count="17">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rgb="FFFF0000"/>
        <bgColor indexed="64"/>
      </patternFill>
    </fill>
    <fill>
      <patternFill patternType="solid">
        <fgColor rgb="FF00B0F0"/>
        <bgColor indexed="64"/>
      </patternFill>
    </fill>
    <fill>
      <patternFill patternType="solid">
        <fgColor rgb="FFEBF3FF"/>
      </patternFill>
    </fill>
    <fill>
      <patternFill patternType="solid">
        <fgColor rgb="FFEBF9F1"/>
      </patternFill>
    </fill>
    <fill>
      <patternFill patternType="solid">
        <fgColor rgb="FFFFF8EE"/>
      </patternFill>
    </fill>
    <fill>
      <patternFill patternType="solid">
        <fgColor rgb="FFFFF0F5"/>
      </patternFill>
    </fill>
    <fill>
      <patternFill patternType="solid">
        <fgColor rgb="FFF3EEFF"/>
      </patternFill>
    </fill>
    <fill>
      <patternFill patternType="solid">
        <fgColor rgb="FFFAFCFF"/>
      </patternFill>
    </fill>
    <fill>
      <patternFill patternType="solid">
        <fgColor rgb="FF1E3A5F"/>
      </patternFill>
    </fill>
  </fills>
  <borders count="19">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rgb="FFD0D0D0"/>
      </left>
      <right/>
      <top style="thin">
        <color rgb="FFD0D0D0"/>
      </top>
      <bottom/>
      <diagonal/>
    </border>
    <border>
      <left style="thin">
        <color indexed="64"/>
      </left>
      <right style="thin">
        <color indexed="64"/>
      </right>
      <top/>
      <bottom style="thin">
        <color indexed="64"/>
      </bottom>
      <diagonal/>
    </border>
    <border>
      <left style="medium">
        <color indexed="64"/>
      </left>
      <right style="thin">
        <color rgb="FFD0D0D0"/>
      </right>
      <top style="medium">
        <color indexed="64"/>
      </top>
      <bottom style="medium">
        <color indexed="64"/>
      </bottom>
      <diagonal/>
    </border>
    <border>
      <left style="thin">
        <color rgb="FFD0D0D0"/>
      </left>
      <right style="thin">
        <color rgb="FFD0D0D0"/>
      </right>
      <top style="medium">
        <color indexed="64"/>
      </top>
      <bottom style="medium">
        <color indexed="64"/>
      </bottom>
      <diagonal/>
    </border>
    <border>
      <left style="thin">
        <color rgb="FFD0D0D0"/>
      </left>
      <right/>
      <top style="medium">
        <color indexed="64"/>
      </top>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D0D0D0"/>
      </left>
      <right style="thin">
        <color rgb="FFD0D0D0"/>
      </right>
      <top/>
      <bottom/>
      <diagonal/>
    </border>
    <border>
      <left/>
      <right style="medium">
        <color indexed="64"/>
      </right>
      <top style="medium">
        <color indexed="64"/>
      </top>
      <bottom style="medium">
        <color indexed="64"/>
      </bottom>
      <diagonal/>
    </border>
    <border>
      <left style="thin">
        <color rgb="FFD0D8E4"/>
      </left>
      <right style="thin">
        <color rgb="FFD0D8E4"/>
      </right>
      <top style="thin">
        <color rgb="FFD0D8E4"/>
      </top>
      <bottom style="thin">
        <color rgb="FFD0D8E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67">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left" vertical="top" wrapText="1"/>
    </xf>
    <xf numFmtId="0" fontId="6" fillId="0" borderId="2" xfId="0" applyFont="1" applyBorder="1" applyAlignment="1">
      <alignment horizontal="center" vertical="center" wrapText="1"/>
    </xf>
    <xf numFmtId="0" fontId="5" fillId="2" borderId="5" xfId="0" applyFont="1" applyFill="1" applyBorder="1" applyAlignment="1">
      <alignment horizontal="center" vertical="center" wrapText="1"/>
    </xf>
    <xf numFmtId="0" fontId="6" fillId="0" borderId="6" xfId="0" applyFont="1" applyBorder="1" applyAlignment="1">
      <alignment horizontal="center" vertical="center" wrapText="1"/>
    </xf>
    <xf numFmtId="0" fontId="6" fillId="0" borderId="6" xfId="0" applyFont="1" applyBorder="1" applyAlignment="1">
      <alignment horizontal="left" vertical="top" wrapText="1"/>
    </xf>
    <xf numFmtId="0" fontId="5" fillId="2" borderId="7"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8" fillId="4" borderId="0" xfId="0" applyFont="1" applyFill="1"/>
    <xf numFmtId="0" fontId="5" fillId="2" borderId="9" xfId="0" applyFont="1" applyFill="1" applyBorder="1" applyAlignment="1">
      <alignment horizontal="center" vertical="center"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0" fillId="0" borderId="0" xfId="0" applyAlignment="1">
      <alignment horizontal="center"/>
    </xf>
    <xf numFmtId="0" fontId="5" fillId="2" borderId="8" xfId="0" applyFont="1" applyFill="1" applyBorder="1" applyAlignment="1">
      <alignment horizontal="center" wrapText="1"/>
    </xf>
    <xf numFmtId="0" fontId="6" fillId="0" borderId="6" xfId="0" applyFont="1" applyBorder="1" applyAlignment="1">
      <alignment horizontal="center" wrapText="1"/>
    </xf>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12"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22" fontId="0" fillId="5" borderId="0" xfId="0" applyNumberFormat="1" applyFill="1" applyAlignment="1">
      <alignment horizontal="left"/>
    </xf>
    <xf numFmtId="0" fontId="10" fillId="0" borderId="2" xfId="0" applyFont="1" applyBorder="1" applyAlignment="1">
      <alignment horizontal="center" vertical="center" wrapText="1"/>
    </xf>
    <xf numFmtId="0" fontId="10" fillId="0" borderId="11" xfId="0" applyFont="1" applyBorder="1" applyAlignment="1">
      <alignment horizontal="left" vertical="top" wrapText="1"/>
    </xf>
    <xf numFmtId="0" fontId="5" fillId="2" borderId="15" xfId="0" applyFont="1" applyFill="1" applyBorder="1" applyAlignment="1">
      <alignment horizontal="center" vertical="center" wrapText="1"/>
    </xf>
    <xf numFmtId="0" fontId="6" fillId="8" borderId="6" xfId="0" applyFont="1" applyFill="1" applyBorder="1" applyAlignment="1">
      <alignment horizontal="center" wrapText="1"/>
    </xf>
    <xf numFmtId="0" fontId="6" fillId="9" borderId="6" xfId="0" applyFont="1" applyFill="1" applyBorder="1" applyAlignment="1">
      <alignment horizont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10" fillId="0" borderId="4" xfId="0" applyFont="1" applyBorder="1" applyAlignment="1">
      <alignment horizontal="center" vertical="center" wrapText="1"/>
    </xf>
    <xf numFmtId="0" fontId="0" fillId="0" borderId="0" xfId="0" applyAlignment="1">
      <alignment vertical="center" wrapText="1"/>
    </xf>
    <xf numFmtId="0" fontId="6" fillId="0" borderId="2" xfId="0" applyFont="1" applyBorder="1" applyAlignment="1">
      <alignment vertical="center" wrapText="1"/>
    </xf>
    <xf numFmtId="0" fontId="12" fillId="15" borderId="17" xfId="0" applyFont="1" applyFill="1" applyBorder="1" applyAlignment="1">
      <alignment horizontal="left" vertical="top" wrapText="1"/>
    </xf>
    <xf numFmtId="0" fontId="11" fillId="14" borderId="17" xfId="0" applyFont="1" applyFill="1" applyBorder="1" applyAlignment="1">
      <alignment horizontal="left" vertical="top" wrapText="1"/>
    </xf>
    <xf numFmtId="0" fontId="13" fillId="14" borderId="17" xfId="0" applyFont="1" applyFill="1" applyBorder="1" applyAlignment="1">
      <alignment horizontal="left" vertical="top" wrapText="1"/>
    </xf>
    <xf numFmtId="0" fontId="14" fillId="14" borderId="17" xfId="0" applyFont="1" applyFill="1" applyBorder="1" applyAlignment="1">
      <alignment horizontal="center" vertical="top"/>
    </xf>
    <xf numFmtId="0" fontId="11" fillId="13" borderId="17" xfId="0" applyFont="1" applyFill="1" applyBorder="1" applyAlignment="1">
      <alignment horizontal="left" vertical="top" wrapText="1"/>
    </xf>
    <xf numFmtId="0" fontId="13" fillId="13" borderId="17" xfId="0" applyFont="1" applyFill="1" applyBorder="1" applyAlignment="1">
      <alignment horizontal="left" vertical="top" wrapText="1"/>
    </xf>
    <xf numFmtId="0" fontId="14" fillId="13" borderId="17" xfId="0" applyFont="1" applyFill="1" applyBorder="1" applyAlignment="1">
      <alignment horizontal="center" vertical="top"/>
    </xf>
    <xf numFmtId="0" fontId="11" fillId="12" borderId="17" xfId="0" applyFont="1" applyFill="1" applyBorder="1" applyAlignment="1">
      <alignment horizontal="left" vertical="top" wrapText="1"/>
    </xf>
    <xf numFmtId="0" fontId="13" fillId="12" borderId="17" xfId="0" applyFont="1" applyFill="1" applyBorder="1" applyAlignment="1">
      <alignment horizontal="left" vertical="top" wrapText="1"/>
    </xf>
    <xf numFmtId="0" fontId="14" fillId="12" borderId="17" xfId="0" applyFont="1" applyFill="1" applyBorder="1" applyAlignment="1">
      <alignment horizontal="center" vertical="top"/>
    </xf>
    <xf numFmtId="0" fontId="11" fillId="11" borderId="17" xfId="0" applyFont="1" applyFill="1" applyBorder="1" applyAlignment="1">
      <alignment horizontal="left" vertical="top" wrapText="1"/>
    </xf>
    <xf numFmtId="0" fontId="13" fillId="11" borderId="17" xfId="0" applyFont="1" applyFill="1" applyBorder="1" applyAlignment="1">
      <alignment horizontal="left" vertical="top" wrapText="1"/>
    </xf>
    <xf numFmtId="0" fontId="14" fillId="11" borderId="17" xfId="0" applyFont="1" applyFill="1" applyBorder="1" applyAlignment="1">
      <alignment horizontal="center" vertical="top"/>
    </xf>
    <xf numFmtId="0" fontId="11" fillId="10" borderId="17" xfId="0" applyFont="1" applyFill="1" applyBorder="1" applyAlignment="1">
      <alignment horizontal="left" vertical="top" wrapText="1"/>
    </xf>
    <xf numFmtId="0" fontId="13" fillId="10" borderId="17" xfId="0" applyFont="1" applyFill="1" applyBorder="1" applyAlignment="1">
      <alignment horizontal="left" vertical="top" wrapText="1"/>
    </xf>
    <xf numFmtId="0" fontId="14" fillId="10" borderId="17" xfId="0" applyFont="1" applyFill="1" applyBorder="1" applyAlignment="1">
      <alignment horizontal="center" vertical="top"/>
    </xf>
    <xf numFmtId="0" fontId="15" fillId="16" borderId="17" xfId="0" applyFont="1" applyFill="1" applyBorder="1" applyAlignment="1">
      <alignment horizontal="center" vertical="center"/>
    </xf>
    <xf numFmtId="0" fontId="1" fillId="7" borderId="13" xfId="0" applyFont="1" applyFill="1" applyBorder="1" applyAlignment="1">
      <alignment horizontal="center" vertical="center"/>
    </xf>
    <xf numFmtId="0" fontId="0" fillId="0" borderId="14" xfId="0" applyBorder="1"/>
    <xf numFmtId="0" fontId="9" fillId="5" borderId="18" xfId="0" applyFont="1" applyFill="1" applyBorder="1" applyAlignment="1">
      <alignment horizontal="center" vertical="top" wrapText="1"/>
    </xf>
    <xf numFmtId="0" fontId="0" fillId="0" borderId="16" xfId="0" applyBorder="1"/>
    <xf numFmtId="0" fontId="2" fillId="5" borderId="0" xfId="0" applyFont="1" applyFill="1"/>
    <xf numFmtId="0" fontId="0" fillId="0" borderId="0" xfId="0"/>
    <xf numFmtId="0" fontId="1" fillId="5" borderId="18" xfId="0" applyFont="1" applyFill="1" applyBorder="1" applyAlignment="1">
      <alignment horizontal="center" vertical="center"/>
    </xf>
    <xf numFmtId="0" fontId="3" fillId="5" borderId="0" xfId="0" applyFont="1" applyFill="1" applyAlignment="1">
      <alignment horizontal="left" vertical="top" wrapText="1"/>
    </xf>
    <xf numFmtId="0" fontId="0" fillId="0" borderId="0" xfId="0" applyAlignment="1">
      <alignment wrapText="1"/>
    </xf>
    <xf numFmtId="0" fontId="4" fillId="0" borderId="0" xfId="0" applyFont="1" applyAlignment="1">
      <alignment horizontal="left" vertical="top" wrapText="1"/>
    </xf>
  </cellXfs>
  <cellStyles count="1">
    <cellStyle name="Normal" xfId="0" builtinId="0"/>
  </cellStyles>
  <dxfs count="2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wrapText="1"/>
      <border>
        <left/>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left" vertical="top"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general"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general"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general"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left" vertical="top"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alignment horizontal="left" vertical="top"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bottom" wrapText="1"/>
      <border outline="0">
        <left style="thin">
          <color indexed="64"/>
        </left>
        <right style="thin">
          <color indexed="64"/>
        </right>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medium">
          <color indexed="64"/>
        </left>
        <right style="thin">
          <color indexed="64"/>
        </right>
        <top style="thin">
          <color indexed="64"/>
        </top>
        <bottom style="thin">
          <color indexed="64"/>
        </bottom>
      </border>
    </dxf>
    <dxf>
      <border outline="0">
        <right style="medium">
          <color rgb="FF000000"/>
        </right>
      </border>
    </dxf>
    <dxf>
      <font>
        <strike val="0"/>
        <condense val="0"/>
        <extend val="0"/>
        <outline val="0"/>
        <shadow val="0"/>
        <vertAlign val="baseline"/>
        <sz val="9"/>
        <color auto="1"/>
        <name val="Calibri"/>
        <family val="2"/>
      </font>
      <alignment horizontal="center" vertical="center" wrapText="1"/>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outline="0">
        <left style="thin">
          <color rgb="FFD0D0D0"/>
        </left>
        <right style="thin">
          <color rgb="FFD0D0D0"/>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52" displayName="Table1352" ref="A1:O22" totalsRowShown="0" headerRowDxfId="26" dataDxfId="25" tableBorderDxfId="24">
  <autoFilter ref="A1:O22"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00000000-0010-0000-0000-00000F000000}" name="What You Should Do " dataDxfId="14"/>
    <tableColumn id="8" xr3:uid="{00000000-0010-0000-0000-000008000000}" name="Data Source" dataDxfId="13"/>
    <tableColumn id="9" xr3:uid="{00000000-0010-0000-0000-000009000000}" name="Impact" dataDxfId="12"/>
    <tableColumn id="10" xr3:uid="{00000000-0010-0000-0000-00000A000000}" name="Importance" dataDxfId="11"/>
    <tableColumn id="11" xr3:uid="{00000000-0010-0000-0000-00000B000000}" name="Priority" dataDxfId="10"/>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35"/>
  <sheetViews>
    <sheetView zoomScale="85" zoomScaleNormal="85" workbookViewId="0">
      <pane ySplit="8" topLeftCell="A9" activePane="bottomLeft" state="frozen"/>
      <selection pane="bottomLeft" activeCell="A12" sqref="A12"/>
    </sheetView>
  </sheetViews>
  <sheetFormatPr defaultRowHeight="14.4" x14ac:dyDescent="0.3"/>
  <cols>
    <col min="1" max="1" width="21.44140625" customWidth="1"/>
    <col min="2" max="2" width="27.5546875" customWidth="1"/>
    <col min="3" max="3" width="38.21875" customWidth="1"/>
    <col min="4" max="4" width="52" style="25" customWidth="1"/>
    <col min="5" max="6" width="50.21875" style="25" customWidth="1"/>
    <col min="7" max="7" width="36.21875" customWidth="1"/>
    <col min="8" max="8" width="21.5546875" style="19" bestFit="1" customWidth="1"/>
    <col min="9" max="9" width="26.21875" style="19" bestFit="1" customWidth="1"/>
    <col min="10" max="10" width="19.6640625" style="19" bestFit="1" customWidth="1"/>
    <col min="11" max="11" width="19.44140625" style="19" bestFit="1" customWidth="1"/>
    <col min="12" max="12" width="21.88671875" style="19" bestFit="1" customWidth="1"/>
    <col min="13" max="13" width="25" style="19" bestFit="1" customWidth="1"/>
    <col min="14" max="14" width="25.6640625" bestFit="1" customWidth="1"/>
    <col min="15" max="15" width="28.44140625" bestFit="1" customWidth="1"/>
    <col min="16" max="16" width="27.6640625" bestFit="1" customWidth="1"/>
    <col min="17" max="17" width="22.33203125" bestFit="1" customWidth="1"/>
    <col min="18" max="18" width="16.88671875" bestFit="1" customWidth="1"/>
    <col min="19" max="19" width="10.6640625" bestFit="1" customWidth="1"/>
    <col min="20" max="20" width="26.6640625" bestFit="1" customWidth="1"/>
    <col min="21" max="21" width="27.6640625" bestFit="1" customWidth="1"/>
    <col min="22" max="22" width="18.88671875" bestFit="1" customWidth="1"/>
    <col min="23" max="23" width="20" bestFit="1" customWidth="1"/>
    <col min="24" max="24" width="14.44140625" bestFit="1" customWidth="1"/>
    <col min="25" max="25" width="19.44140625" bestFit="1" customWidth="1"/>
    <col min="26" max="26" width="12.77734375" bestFit="1" customWidth="1"/>
    <col min="27" max="27" width="30.44140625" bestFit="1" customWidth="1"/>
    <col min="28" max="28" width="24.88671875" bestFit="1" customWidth="1"/>
    <col min="29" max="29" width="20.44140625" bestFit="1" customWidth="1"/>
    <col min="30" max="30" width="16.109375" bestFit="1" customWidth="1"/>
    <col min="31" max="31" width="21.5546875"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57" t="s">
        <v>212</v>
      </c>
      <c r="B1" s="58"/>
      <c r="C1" s="58"/>
      <c r="D1" s="58"/>
      <c r="E1" s="58"/>
      <c r="F1" s="58"/>
      <c r="G1" s="58"/>
    </row>
    <row r="2" spans="1:7" x14ac:dyDescent="0.3">
      <c r="A2" s="28" t="s">
        <v>213</v>
      </c>
      <c r="B2" s="19" t="s">
        <v>214</v>
      </c>
      <c r="C2" s="19"/>
      <c r="D2" s="64"/>
      <c r="E2" s="65"/>
      <c r="F2" s="65"/>
      <c r="G2" s="62"/>
    </row>
    <row r="3" spans="1:7" x14ac:dyDescent="0.3">
      <c r="A3" s="27" t="s">
        <v>215</v>
      </c>
      <c r="B3" t="s">
        <v>216</v>
      </c>
      <c r="D3" s="26"/>
      <c r="E3" s="19"/>
      <c r="F3" s="19"/>
      <c r="G3" s="19"/>
    </row>
    <row r="4" spans="1:7" ht="14.4" customHeight="1" x14ac:dyDescent="0.3">
      <c r="A4" s="28" t="s">
        <v>217</v>
      </c>
      <c r="B4" s="19" t="s">
        <v>218</v>
      </c>
      <c r="C4" s="19"/>
      <c r="D4" s="64"/>
      <c r="E4" s="65"/>
      <c r="F4" s="65"/>
      <c r="G4" s="62"/>
    </row>
    <row r="5" spans="1:7" ht="14.4" customHeight="1" x14ac:dyDescent="0.3">
      <c r="A5" s="28" t="s">
        <v>219</v>
      </c>
      <c r="B5" s="29">
        <v>46083.684884259259</v>
      </c>
      <c r="C5" s="19"/>
      <c r="D5" s="26"/>
      <c r="E5" s="19"/>
      <c r="F5" s="19"/>
      <c r="G5" s="19"/>
    </row>
    <row r="6" spans="1:7" ht="15" customHeight="1" thickBot="1" x14ac:dyDescent="0.35">
      <c r="A6" s="19"/>
      <c r="B6" s="19"/>
      <c r="C6" s="19"/>
      <c r="D6" s="24"/>
      <c r="E6" s="24"/>
      <c r="F6" s="24"/>
      <c r="G6" s="19"/>
    </row>
    <row r="7" spans="1:7" ht="21" customHeight="1" thickBot="1" x14ac:dyDescent="0.35">
      <c r="A7" s="61" t="s">
        <v>220</v>
      </c>
      <c r="B7" s="62"/>
      <c r="C7" s="62"/>
      <c r="D7" s="63" t="str">
        <f>'Logic and Calculation'!B5</f>
        <v>Is Compliant</v>
      </c>
      <c r="E7" s="58"/>
      <c r="F7" s="58"/>
      <c r="G7" s="60"/>
    </row>
    <row r="8" spans="1:7" ht="18" customHeight="1" thickBot="1" x14ac:dyDescent="0.35">
      <c r="A8" s="61" t="s">
        <v>221</v>
      </c>
      <c r="B8" s="62"/>
      <c r="C8" s="62"/>
      <c r="D8" s="59" t="str">
        <f t="array" ref="D8">_xlfn.IFS(D7='Logic and Calculation'!L3,'Logic and Calculation'!M3,D7='Logic and Calculation'!L4,'Logic and Calculation'!M4,D7='Logic and Calculation'!L5,'Logic and Calculation'!M5)</f>
        <v>The account framework is compliant. Core governance controls are correctly configured, enabling stable optimization and scalable performance.</v>
      </c>
      <c r="E8" s="58"/>
      <c r="F8" s="58"/>
      <c r="G8" s="60"/>
    </row>
    <row r="9" spans="1:7" ht="18" customHeight="1" x14ac:dyDescent="0.3">
      <c r="A9" s="19"/>
      <c r="B9" s="19"/>
      <c r="C9" s="19"/>
      <c r="D9" s="24"/>
      <c r="E9" s="24"/>
      <c r="F9" s="24"/>
      <c r="G9" s="19"/>
    </row>
    <row r="10" spans="1:7" x14ac:dyDescent="0.3">
      <c r="A10" s="66" t="s">
        <v>222</v>
      </c>
      <c r="B10" s="62"/>
      <c r="C10" s="62"/>
      <c r="D10" s="65"/>
      <c r="E10" s="65"/>
      <c r="F10" s="65"/>
      <c r="G10" s="62"/>
    </row>
    <row r="11" spans="1:7" ht="19.95" customHeight="1" x14ac:dyDescent="0.3">
      <c r="A11" s="1" t="s">
        <v>1</v>
      </c>
      <c r="B11" s="1" t="s">
        <v>2</v>
      </c>
      <c r="C11" s="1" t="s">
        <v>223</v>
      </c>
      <c r="D11" s="1" t="s">
        <v>7</v>
      </c>
      <c r="E11" s="1" t="s">
        <v>8</v>
      </c>
      <c r="F11" s="1" t="s">
        <v>9</v>
      </c>
      <c r="G11" s="1" t="s">
        <v>11</v>
      </c>
    </row>
    <row r="12" spans="1:7" ht="44.4" customHeight="1" x14ac:dyDescent="0.3">
      <c r="A12" s="20" t="str">
        <f t="array" ref="A12">_xlfn.LET(
_xlpm.id,Framework_Reference!B2:B23,
_xlpm.name,Framework_Reference!C2:C23,
_xlpm.st,Framework_Reference!D2:D23,
_xlpm.saw,Framework_Reference!H2:H23,
_xlpm.matter,Framework_Reference!I2:I23,
_xlpm.wysd,Framework_Reference!J2:J23,
_xlpm.impact,Framework_Reference!L2:L23,
_xlpm.data,_xlfn.HSTACK(_xlpm.id,_xlpm.name,_xlpm.st,_xlpm.saw,_xlpm.matter,_xlpm.wysd,_xlpm.impact),
_xlfn._xlws.FILTER(_xlpm.data,_xlpm.st&lt;&gt;"OK","No findings — all controls OK")
)</f>
        <v>No findings — all controls OK</v>
      </c>
      <c r="B12" s="20"/>
      <c r="C12" s="21"/>
      <c r="D12" s="22"/>
      <c r="E12" s="22"/>
      <c r="F12" s="22"/>
      <c r="G12" s="20"/>
    </row>
    <row r="13" spans="1:7" ht="44.4" customHeight="1" x14ac:dyDescent="0.3">
      <c r="A13" s="20"/>
      <c r="B13" s="20"/>
      <c r="C13" s="18"/>
      <c r="D13" s="22"/>
      <c r="E13" s="22"/>
      <c r="F13" s="22"/>
      <c r="G13" s="20"/>
    </row>
    <row r="14" spans="1:7" ht="44.4" customHeight="1" x14ac:dyDescent="0.3">
      <c r="A14" s="20"/>
      <c r="B14" s="20"/>
      <c r="C14" s="18"/>
      <c r="D14" s="22"/>
      <c r="E14" s="22"/>
      <c r="F14" s="22"/>
      <c r="G14" s="20"/>
    </row>
    <row r="15" spans="1:7" ht="44.4" customHeight="1" x14ac:dyDescent="0.3">
      <c r="A15" s="20"/>
      <c r="B15" s="20"/>
      <c r="C15" s="18"/>
      <c r="D15" s="22"/>
      <c r="E15" s="22"/>
      <c r="F15" s="22"/>
      <c r="G15" s="20"/>
    </row>
    <row r="16" spans="1:7" ht="44.4" customHeight="1" x14ac:dyDescent="0.3">
      <c r="A16" s="20"/>
      <c r="B16" s="20"/>
      <c r="C16" s="18"/>
      <c r="D16" s="22"/>
      <c r="E16" s="22"/>
      <c r="F16" s="22"/>
      <c r="G16" s="20"/>
    </row>
    <row r="17" spans="1:7" ht="44.4" customHeight="1" x14ac:dyDescent="0.3">
      <c r="A17" s="20"/>
      <c r="B17" s="20"/>
      <c r="C17" s="18"/>
      <c r="D17" s="22"/>
      <c r="E17" s="22"/>
      <c r="F17" s="22"/>
      <c r="G17" s="20"/>
    </row>
    <row r="18" spans="1:7" ht="44.4" customHeight="1" x14ac:dyDescent="0.3">
      <c r="A18" s="20"/>
      <c r="B18" s="20"/>
      <c r="C18" s="18"/>
      <c r="D18" s="22"/>
      <c r="E18" s="22"/>
      <c r="F18" s="22"/>
      <c r="G18" s="20"/>
    </row>
    <row r="19" spans="1:7" ht="44.4" customHeight="1" x14ac:dyDescent="0.3">
      <c r="A19" s="20"/>
      <c r="B19" s="20"/>
      <c r="C19" s="18"/>
      <c r="D19" s="22"/>
      <c r="E19" s="22"/>
      <c r="F19" s="22"/>
      <c r="G19" s="20"/>
    </row>
    <row r="20" spans="1:7" ht="44.4" customHeight="1" x14ac:dyDescent="0.3">
      <c r="A20" s="20"/>
      <c r="B20" s="20"/>
      <c r="C20" s="18"/>
      <c r="D20" s="22"/>
      <c r="E20" s="22"/>
      <c r="F20" s="22"/>
      <c r="G20" s="20"/>
    </row>
    <row r="21" spans="1:7" ht="44.4" customHeight="1" x14ac:dyDescent="0.3">
      <c r="A21" s="20"/>
      <c r="B21" s="20"/>
      <c r="C21" s="18"/>
      <c r="D21" s="22"/>
      <c r="E21" s="22"/>
      <c r="F21" s="22"/>
      <c r="G21" s="20"/>
    </row>
    <row r="22" spans="1:7" ht="44.4" customHeight="1" x14ac:dyDescent="0.3">
      <c r="A22" s="20"/>
      <c r="B22" s="20"/>
      <c r="C22" s="18"/>
      <c r="D22" s="22"/>
      <c r="E22" s="22"/>
      <c r="F22" s="22"/>
      <c r="G22" s="20"/>
    </row>
    <row r="23" spans="1:7" ht="44.4" customHeight="1" x14ac:dyDescent="0.3">
      <c r="A23" s="20"/>
      <c r="B23" s="20"/>
      <c r="C23" s="18"/>
      <c r="D23" s="22"/>
      <c r="E23" s="22"/>
      <c r="F23" s="22"/>
      <c r="G23" s="20"/>
    </row>
    <row r="24" spans="1:7" ht="44.4" customHeight="1" x14ac:dyDescent="0.3">
      <c r="A24" s="20"/>
      <c r="B24" s="20"/>
      <c r="C24" s="18"/>
      <c r="D24" s="22"/>
      <c r="E24" s="22"/>
      <c r="F24" s="22"/>
      <c r="G24" s="20"/>
    </row>
    <row r="25" spans="1:7" ht="44.4" customHeight="1" x14ac:dyDescent="0.3">
      <c r="A25" s="20"/>
      <c r="B25" s="20"/>
      <c r="C25" s="18"/>
      <c r="D25" s="22"/>
      <c r="E25" s="22"/>
      <c r="F25" s="22"/>
      <c r="G25" s="20"/>
    </row>
    <row r="26" spans="1:7" ht="44.4" customHeight="1" x14ac:dyDescent="0.3">
      <c r="A26" s="19"/>
      <c r="B26" s="19"/>
      <c r="C26" s="18"/>
      <c r="D26" s="24"/>
      <c r="E26" s="24"/>
      <c r="F26" s="24"/>
      <c r="G26" s="19"/>
    </row>
    <row r="27" spans="1:7" ht="44.4" customHeight="1" x14ac:dyDescent="0.3">
      <c r="A27" s="19"/>
      <c r="B27" s="19"/>
      <c r="C27" s="18"/>
      <c r="D27" s="24"/>
      <c r="E27" s="24"/>
      <c r="F27" s="24"/>
      <c r="G27" s="19"/>
    </row>
    <row r="28" spans="1:7" ht="44.4" customHeight="1" x14ac:dyDescent="0.3">
      <c r="A28" s="19"/>
      <c r="B28" s="19"/>
      <c r="C28" s="18"/>
      <c r="D28" s="24"/>
      <c r="E28" s="24"/>
      <c r="F28" s="24"/>
      <c r="G28" s="19"/>
    </row>
    <row r="29" spans="1:7" ht="44.4" customHeight="1" x14ac:dyDescent="0.3">
      <c r="A29" s="19"/>
      <c r="B29" s="19"/>
      <c r="C29" s="18"/>
      <c r="D29" s="24"/>
      <c r="E29" s="24"/>
      <c r="F29" s="24"/>
      <c r="G29" s="19"/>
    </row>
    <row r="30" spans="1:7" ht="44.4" customHeight="1" x14ac:dyDescent="0.3">
      <c r="A30" s="19"/>
      <c r="B30" s="19"/>
      <c r="C30" s="18"/>
      <c r="D30" s="24"/>
      <c r="E30" s="24"/>
      <c r="F30" s="24"/>
      <c r="G30" s="19"/>
    </row>
    <row r="31" spans="1:7" ht="44.4" customHeight="1" x14ac:dyDescent="0.3">
      <c r="C31" s="18"/>
    </row>
    <row r="32" spans="1:7" ht="44.4" customHeight="1" x14ac:dyDescent="0.3">
      <c r="C32" s="18"/>
    </row>
    <row r="33" spans="3:3" ht="44.4" customHeight="1" x14ac:dyDescent="0.3">
      <c r="C33" s="18"/>
    </row>
    <row r="34" spans="3:3" ht="44.4" customHeight="1" x14ac:dyDescent="0.3">
      <c r="C34" s="18"/>
    </row>
    <row r="35" spans="3:3" ht="44.4" customHeight="1" x14ac:dyDescent="0.3">
      <c r="C35" s="18"/>
    </row>
  </sheetData>
  <mergeCells count="8">
    <mergeCell ref="A10:G10"/>
    <mergeCell ref="D4:G4"/>
    <mergeCell ref="A1:G1"/>
    <mergeCell ref="D8:G8"/>
    <mergeCell ref="A8:C8"/>
    <mergeCell ref="D7:G7"/>
    <mergeCell ref="A7:C7"/>
    <mergeCell ref="D2:G2"/>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Is Compliant">
      <formula>NOT(ISERROR(SEARCH("Is Compliant",D7)))</formula>
    </cfRule>
    <cfRule type="containsText" dxfId="4" priority="2" operator="containsText" text="Need Improvement">
      <formula>NOT(ISERROR(SEARCH("Need Improvement",D7)))</formula>
    </cfRule>
    <cfRule type="containsText" dxfId="3" priority="3" operator="containsText" text="Non-Compliant">
      <formula>NOT(ISERROR(SEARCH("Non-Compliant",D7)))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23"/>
  <sheetViews>
    <sheetView zoomScale="130" zoomScaleNormal="130" workbookViewId="0">
      <pane ySplit="1" topLeftCell="A2" activePane="bottomLeft" state="frozen"/>
      <selection pane="bottomLeft" activeCell="D24" sqref="D24"/>
    </sheetView>
  </sheetViews>
  <sheetFormatPr defaultRowHeight="14.4" x14ac:dyDescent="0.3"/>
  <cols>
    <col min="1" max="1" width="22" style="17" customWidth="1"/>
    <col min="2" max="2" width="10.5546875" style="17" customWidth="1"/>
    <col min="3" max="3" width="34.21875" style="17" customWidth="1"/>
    <col min="4" max="4" width="8.44140625" style="14" customWidth="1"/>
    <col min="5" max="5" width="28.44140625" customWidth="1"/>
    <col min="6" max="6" width="30.33203125" customWidth="1"/>
    <col min="7" max="7" width="52.21875" customWidth="1"/>
    <col min="8" max="8" width="60.5546875" customWidth="1"/>
    <col min="9" max="9" width="47.88671875" hidden="1" customWidth="1"/>
    <col min="10" max="10" width="42.5546875" customWidth="1"/>
    <col min="11" max="11" width="30.77734375" customWidth="1"/>
    <col min="12" max="12" width="10" customWidth="1"/>
    <col min="13" max="13" width="11.6640625" customWidth="1"/>
    <col min="14" max="14" width="22" customWidth="1"/>
    <col min="15" max="15" width="39.44140625" customWidth="1"/>
  </cols>
  <sheetData>
    <row r="1" spans="1:15" ht="28.2" customHeight="1" thickBot="1" x14ac:dyDescent="0.35">
      <c r="A1" s="5" t="s">
        <v>0</v>
      </c>
      <c r="B1" s="8" t="s">
        <v>1</v>
      </c>
      <c r="C1" s="9" t="s">
        <v>2</v>
      </c>
      <c r="D1" s="15" t="s">
        <v>3</v>
      </c>
      <c r="E1" s="9" t="s">
        <v>4</v>
      </c>
      <c r="F1" s="9" t="s">
        <v>5</v>
      </c>
      <c r="G1" s="9" t="s">
        <v>6</v>
      </c>
      <c r="H1" s="1" t="s">
        <v>7</v>
      </c>
      <c r="I1" s="1" t="s">
        <v>8</v>
      </c>
      <c r="J1" s="32" t="s">
        <v>9</v>
      </c>
      <c r="K1" s="9" t="s">
        <v>10</v>
      </c>
      <c r="L1" s="9" t="s">
        <v>11</v>
      </c>
      <c r="M1" s="9" t="s">
        <v>12</v>
      </c>
      <c r="N1" s="9" t="s">
        <v>13</v>
      </c>
      <c r="O1" s="11" t="s">
        <v>14</v>
      </c>
    </row>
    <row r="2" spans="1:15" ht="44.4" customHeight="1" x14ac:dyDescent="0.3">
      <c r="A2" s="35" t="s">
        <v>15</v>
      </c>
      <c r="B2" s="6" t="s">
        <v>16</v>
      </c>
      <c r="C2" s="6" t="s">
        <v>17</v>
      </c>
      <c r="D2" s="16" t="s">
        <v>18</v>
      </c>
      <c r="E2" s="7" t="s">
        <v>19</v>
      </c>
      <c r="F2" s="7" t="s">
        <v>20</v>
      </c>
      <c r="G2" s="7" t="s">
        <v>21</v>
      </c>
      <c r="H2" s="38" t="s">
        <v>22</v>
      </c>
      <c r="I2" s="38" t="s">
        <v>23</v>
      </c>
      <c r="J2" s="38" t="s">
        <v>24</v>
      </c>
      <c r="K2" s="7" t="s">
        <v>25</v>
      </c>
      <c r="L2" s="4" t="str">
        <f>VLOOKUP(M2,'Logic and Calculation'!$H:$J,3,0)</f>
        <v>High</v>
      </c>
      <c r="M2" s="6">
        <v>8</v>
      </c>
      <c r="N2" s="4">
        <f>VLOOKUP(M2,'Logic and Calculation'!$H:$J,2,0)</f>
        <v>-13</v>
      </c>
      <c r="O2" s="12"/>
    </row>
    <row r="3" spans="1:15" ht="44.4" customHeight="1" x14ac:dyDescent="0.3">
      <c r="A3" s="36" t="s">
        <v>15</v>
      </c>
      <c r="B3" s="6" t="s">
        <v>26</v>
      </c>
      <c r="C3" s="4" t="s">
        <v>27</v>
      </c>
      <c r="D3" s="16" t="s">
        <v>18</v>
      </c>
      <c r="E3" s="3" t="s">
        <v>28</v>
      </c>
      <c r="F3" s="3" t="s">
        <v>29</v>
      </c>
      <c r="G3" s="3" t="s">
        <v>30</v>
      </c>
      <c r="H3" s="38" t="s">
        <v>31</v>
      </c>
      <c r="I3" s="38" t="s">
        <v>32</v>
      </c>
      <c r="J3" s="38" t="s">
        <v>33</v>
      </c>
      <c r="K3" s="3" t="s">
        <v>34</v>
      </c>
      <c r="L3" s="4" t="str">
        <f>VLOOKUP(M3,'Logic and Calculation'!$H:$J,3,0)</f>
        <v>High</v>
      </c>
      <c r="M3" s="4">
        <v>8</v>
      </c>
      <c r="N3" s="4">
        <f>VLOOKUP(M3,'Logic and Calculation'!$H:$J,2,0)</f>
        <v>-13</v>
      </c>
      <c r="O3" s="13"/>
    </row>
    <row r="4" spans="1:15" ht="44.4" customHeight="1" x14ac:dyDescent="0.3">
      <c r="A4" s="36" t="s">
        <v>15</v>
      </c>
      <c r="B4" s="6" t="s">
        <v>35</v>
      </c>
      <c r="C4" s="4" t="s">
        <v>36</v>
      </c>
      <c r="D4" s="16" t="s">
        <v>18</v>
      </c>
      <c r="E4" s="3" t="s">
        <v>37</v>
      </c>
      <c r="F4" s="3" t="s">
        <v>38</v>
      </c>
      <c r="G4" s="3" t="s">
        <v>39</v>
      </c>
      <c r="H4" s="38" t="s">
        <v>40</v>
      </c>
      <c r="I4" s="38" t="s">
        <v>41</v>
      </c>
      <c r="J4" s="38" t="s">
        <v>42</v>
      </c>
      <c r="K4" s="3" t="s">
        <v>34</v>
      </c>
      <c r="L4" s="4" t="str">
        <f>VLOOKUP(M4,'Logic and Calculation'!$H:$J,3,0)</f>
        <v>High</v>
      </c>
      <c r="M4" s="4">
        <v>8</v>
      </c>
      <c r="N4" s="4">
        <f>VLOOKUP(M4,'Logic and Calculation'!$H:$J,2,0)</f>
        <v>-13</v>
      </c>
      <c r="O4" s="13"/>
    </row>
    <row r="5" spans="1:15" ht="44.4" customHeight="1" x14ac:dyDescent="0.3">
      <c r="A5" s="36" t="s">
        <v>15</v>
      </c>
      <c r="B5" s="6" t="s">
        <v>43</v>
      </c>
      <c r="C5" s="4" t="s">
        <v>44</v>
      </c>
      <c r="D5" s="16" t="s">
        <v>18</v>
      </c>
      <c r="E5" s="3" t="s">
        <v>45</v>
      </c>
      <c r="F5" s="3" t="s">
        <v>46</v>
      </c>
      <c r="G5" s="3" t="s">
        <v>47</v>
      </c>
      <c r="H5" s="38" t="s">
        <v>48</v>
      </c>
      <c r="I5" s="38" t="s">
        <v>49</v>
      </c>
      <c r="J5" s="38" t="s">
        <v>50</v>
      </c>
      <c r="K5" s="3" t="s">
        <v>51</v>
      </c>
      <c r="L5" s="4" t="str">
        <f>VLOOKUP(M5,'Logic and Calculation'!$H:$J,3,0)</f>
        <v>Medium</v>
      </c>
      <c r="M5" s="4">
        <v>6</v>
      </c>
      <c r="N5" s="4">
        <f>VLOOKUP(M5,'Logic and Calculation'!$H:$J,2,0)</f>
        <v>-9</v>
      </c>
      <c r="O5" s="13"/>
    </row>
    <row r="6" spans="1:15" ht="44.4" customHeight="1" x14ac:dyDescent="0.3">
      <c r="A6" s="36" t="s">
        <v>15</v>
      </c>
      <c r="B6" s="6" t="s">
        <v>52</v>
      </c>
      <c r="C6" s="4" t="s">
        <v>53</v>
      </c>
      <c r="D6" s="16" t="s">
        <v>18</v>
      </c>
      <c r="E6" s="3" t="s">
        <v>54</v>
      </c>
      <c r="F6" s="3" t="s">
        <v>55</v>
      </c>
      <c r="G6" s="3" t="s">
        <v>56</v>
      </c>
      <c r="H6" s="38" t="s">
        <v>57</v>
      </c>
      <c r="I6" s="38" t="s">
        <v>58</v>
      </c>
      <c r="J6" s="38" t="s">
        <v>59</v>
      </c>
      <c r="K6" s="3" t="s">
        <v>60</v>
      </c>
      <c r="L6" s="4" t="str">
        <f>VLOOKUP(M6,'Logic and Calculation'!$H:$J,3,0)</f>
        <v>Medium</v>
      </c>
      <c r="M6" s="4">
        <v>5</v>
      </c>
      <c r="N6" s="4">
        <f>VLOOKUP(M6,'Logic and Calculation'!$H:$J,2,0)</f>
        <v>-7</v>
      </c>
      <c r="O6" s="13"/>
    </row>
    <row r="7" spans="1:15" ht="44.4" customHeight="1" x14ac:dyDescent="0.3">
      <c r="A7" s="36" t="s">
        <v>15</v>
      </c>
      <c r="B7" s="6" t="s">
        <v>61</v>
      </c>
      <c r="C7" s="4" t="s">
        <v>62</v>
      </c>
      <c r="D7" s="16" t="s">
        <v>18</v>
      </c>
      <c r="E7" s="3" t="s">
        <v>63</v>
      </c>
      <c r="F7" s="3" t="s">
        <v>64</v>
      </c>
      <c r="G7" s="3" t="s">
        <v>65</v>
      </c>
      <c r="H7" s="38" t="s">
        <v>66</v>
      </c>
      <c r="I7" s="38" t="s">
        <v>67</v>
      </c>
      <c r="J7" s="38" t="s">
        <v>68</v>
      </c>
      <c r="K7" s="3" t="s">
        <v>69</v>
      </c>
      <c r="L7" s="4" t="str">
        <f>VLOOKUP(M7,'Logic and Calculation'!$H:$J,3,0)</f>
        <v>High</v>
      </c>
      <c r="M7" s="4">
        <v>8</v>
      </c>
      <c r="N7" s="4">
        <f>VLOOKUP(M7,'Logic and Calculation'!$H:$J,2,0)</f>
        <v>-13</v>
      </c>
      <c r="O7" s="13"/>
    </row>
    <row r="8" spans="1:15" ht="44.4" customHeight="1" x14ac:dyDescent="0.3">
      <c r="A8" s="36" t="s">
        <v>70</v>
      </c>
      <c r="B8" s="6" t="s">
        <v>71</v>
      </c>
      <c r="C8" s="4" t="s">
        <v>72</v>
      </c>
      <c r="D8" s="16" t="s">
        <v>18</v>
      </c>
      <c r="E8" s="3" t="s">
        <v>73</v>
      </c>
      <c r="F8" s="3" t="s">
        <v>74</v>
      </c>
      <c r="G8" s="3" t="s">
        <v>75</v>
      </c>
      <c r="H8" s="38" t="s">
        <v>76</v>
      </c>
      <c r="I8" s="38" t="s">
        <v>77</v>
      </c>
      <c r="J8" s="38" t="s">
        <v>78</v>
      </c>
      <c r="K8" s="3" t="s">
        <v>79</v>
      </c>
      <c r="L8" s="4" t="str">
        <f>VLOOKUP(M8,'Logic and Calculation'!$H:$J,3,0)</f>
        <v>High</v>
      </c>
      <c r="M8" s="4">
        <v>8</v>
      </c>
      <c r="N8" s="4">
        <f>VLOOKUP(M8,'Logic and Calculation'!$H:$J,2,0)</f>
        <v>-13</v>
      </c>
      <c r="O8" s="13"/>
    </row>
    <row r="9" spans="1:15" ht="44.4" customHeight="1" x14ac:dyDescent="0.3">
      <c r="A9" s="36" t="s">
        <v>70</v>
      </c>
      <c r="B9" s="6" t="s">
        <v>80</v>
      </c>
      <c r="C9" s="4" t="s">
        <v>81</v>
      </c>
      <c r="D9" s="16" t="s">
        <v>18</v>
      </c>
      <c r="E9" s="3" t="s">
        <v>82</v>
      </c>
      <c r="F9" s="3" t="s">
        <v>83</v>
      </c>
      <c r="G9" s="3" t="s">
        <v>84</v>
      </c>
      <c r="H9" s="38" t="s">
        <v>85</v>
      </c>
      <c r="I9" s="38" t="s">
        <v>86</v>
      </c>
      <c r="J9" s="38" t="s">
        <v>87</v>
      </c>
      <c r="K9" s="3" t="s">
        <v>88</v>
      </c>
      <c r="L9" s="4" t="str">
        <f>VLOOKUP(M9,'Logic and Calculation'!$H:$J,3,0)</f>
        <v>High</v>
      </c>
      <c r="M9" s="4">
        <v>8</v>
      </c>
      <c r="N9" s="4">
        <f>VLOOKUP(M9,'Logic and Calculation'!$H:$J,2,0)</f>
        <v>-13</v>
      </c>
      <c r="O9" s="13"/>
    </row>
    <row r="10" spans="1:15" ht="44.4" customHeight="1" x14ac:dyDescent="0.3">
      <c r="A10" s="36" t="s">
        <v>70</v>
      </c>
      <c r="B10" s="6" t="s">
        <v>89</v>
      </c>
      <c r="C10" s="4" t="s">
        <v>90</v>
      </c>
      <c r="D10" s="33" t="s">
        <v>18</v>
      </c>
      <c r="E10" s="3" t="s">
        <v>91</v>
      </c>
      <c r="F10" s="3" t="s">
        <v>92</v>
      </c>
      <c r="G10" s="3" t="s">
        <v>93</v>
      </c>
      <c r="H10" s="38" t="s">
        <v>94</v>
      </c>
      <c r="I10" s="38" t="s">
        <v>95</v>
      </c>
      <c r="J10" s="38" t="s">
        <v>96</v>
      </c>
      <c r="K10" s="3" t="s">
        <v>97</v>
      </c>
      <c r="L10" s="4" t="str">
        <f>VLOOKUP(M10,'Logic and Calculation'!$H:$J,3,0)</f>
        <v>Critical</v>
      </c>
      <c r="M10" s="4">
        <v>10</v>
      </c>
      <c r="N10" s="4">
        <f>VLOOKUP(M10,'Logic and Calculation'!$H:$J,2,0)</f>
        <v>-18</v>
      </c>
      <c r="O10" s="13"/>
    </row>
    <row r="11" spans="1:15" ht="44.4" customHeight="1" x14ac:dyDescent="0.3">
      <c r="A11" s="36" t="s">
        <v>70</v>
      </c>
      <c r="B11" s="6" t="s">
        <v>98</v>
      </c>
      <c r="C11" s="4" t="s">
        <v>99</v>
      </c>
      <c r="D11" s="16" t="s">
        <v>18</v>
      </c>
      <c r="E11" s="3" t="s">
        <v>100</v>
      </c>
      <c r="F11" s="3" t="s">
        <v>101</v>
      </c>
      <c r="G11" s="3" t="s">
        <v>102</v>
      </c>
      <c r="H11" s="38" t="s">
        <v>103</v>
      </c>
      <c r="I11" s="38" t="s">
        <v>104</v>
      </c>
      <c r="J11" s="38" t="s">
        <v>105</v>
      </c>
      <c r="K11" s="3" t="s">
        <v>106</v>
      </c>
      <c r="L11" s="4" t="str">
        <f>VLOOKUP(M11,'Logic and Calculation'!$H:$J,3,0)</f>
        <v>High</v>
      </c>
      <c r="M11" s="4">
        <v>8</v>
      </c>
      <c r="N11" s="4">
        <f>VLOOKUP(M11,'Logic and Calculation'!$H:$J,2,0)</f>
        <v>-13</v>
      </c>
      <c r="O11" s="13"/>
    </row>
    <row r="12" spans="1:15" ht="44.4" customHeight="1" x14ac:dyDescent="0.3">
      <c r="A12" s="36" t="s">
        <v>70</v>
      </c>
      <c r="B12" s="4" t="s">
        <v>107</v>
      </c>
      <c r="C12" s="4" t="s">
        <v>108</v>
      </c>
      <c r="D12" s="16" t="s">
        <v>18</v>
      </c>
      <c r="E12" s="3" t="s">
        <v>109</v>
      </c>
      <c r="F12" s="3" t="s">
        <v>110</v>
      </c>
      <c r="G12" s="3" t="s">
        <v>111</v>
      </c>
      <c r="H12" s="39" t="s">
        <v>112</v>
      </c>
      <c r="I12" s="39" t="s">
        <v>113</v>
      </c>
      <c r="J12" s="39" t="s">
        <v>114</v>
      </c>
      <c r="K12" s="3" t="s">
        <v>115</v>
      </c>
      <c r="L12" s="4" t="str">
        <f>VLOOKUP(M12,'Logic and Calculation'!$H:$J,3,0)</f>
        <v>Medium</v>
      </c>
      <c r="M12" s="4">
        <v>7</v>
      </c>
      <c r="N12" s="4">
        <f>VLOOKUP(M12,'Logic and Calculation'!$H:$J,2,0)</f>
        <v>-11</v>
      </c>
      <c r="O12" s="13"/>
    </row>
    <row r="13" spans="1:15" ht="44.4" customHeight="1" x14ac:dyDescent="0.3">
      <c r="A13" s="36" t="s">
        <v>116</v>
      </c>
      <c r="B13" s="4" t="s">
        <v>117</v>
      </c>
      <c r="C13" s="4" t="s">
        <v>118</v>
      </c>
      <c r="D13" s="33" t="s">
        <v>18</v>
      </c>
      <c r="E13" s="3" t="s">
        <v>119</v>
      </c>
      <c r="F13" s="3" t="s">
        <v>120</v>
      </c>
      <c r="G13" s="3" t="s">
        <v>121</v>
      </c>
      <c r="H13" s="39" t="s">
        <v>122</v>
      </c>
      <c r="I13" s="39" t="s">
        <v>123</v>
      </c>
      <c r="J13" s="39" t="s">
        <v>124</v>
      </c>
      <c r="K13" s="3" t="s">
        <v>125</v>
      </c>
      <c r="L13" s="4" t="str">
        <f>VLOOKUP(M13,'Logic and Calculation'!$H:$J,3,0)</f>
        <v>High</v>
      </c>
      <c r="M13" s="4">
        <v>8</v>
      </c>
      <c r="N13" s="4">
        <f>VLOOKUP(M13,'Logic and Calculation'!$H:$J,2,0)</f>
        <v>-13</v>
      </c>
      <c r="O13" s="13"/>
    </row>
    <row r="14" spans="1:15" ht="44.4" customHeight="1" x14ac:dyDescent="0.3">
      <c r="A14" s="36" t="s">
        <v>126</v>
      </c>
      <c r="B14" s="4" t="s">
        <v>127</v>
      </c>
      <c r="C14" s="4" t="s">
        <v>128</v>
      </c>
      <c r="D14" s="16" t="s">
        <v>18</v>
      </c>
      <c r="E14" s="3" t="s">
        <v>129</v>
      </c>
      <c r="F14" s="3" t="s">
        <v>130</v>
      </c>
      <c r="G14" s="3" t="s">
        <v>131</v>
      </c>
      <c r="H14" s="39" t="s">
        <v>132</v>
      </c>
      <c r="I14" s="39" t="s">
        <v>133</v>
      </c>
      <c r="J14" s="39" t="s">
        <v>134</v>
      </c>
      <c r="K14" s="3" t="s">
        <v>69</v>
      </c>
      <c r="L14" s="4" t="str">
        <f>VLOOKUP(M14,'Logic and Calculation'!$H:$J,3,0)</f>
        <v>Medium</v>
      </c>
      <c r="M14" s="4">
        <v>6</v>
      </c>
      <c r="N14" s="4">
        <f>VLOOKUP(M14,'Logic and Calculation'!$H:$J,2,0)</f>
        <v>-9</v>
      </c>
      <c r="O14" s="13"/>
    </row>
    <row r="15" spans="1:15" ht="44.4" customHeight="1" x14ac:dyDescent="0.3">
      <c r="A15" s="36" t="s">
        <v>126</v>
      </c>
      <c r="B15" s="4" t="s">
        <v>135</v>
      </c>
      <c r="C15" s="4" t="s">
        <v>136</v>
      </c>
      <c r="D15" s="16" t="s">
        <v>18</v>
      </c>
      <c r="E15" s="3" t="s">
        <v>137</v>
      </c>
      <c r="F15" s="3" t="s">
        <v>138</v>
      </c>
      <c r="G15" s="3" t="s">
        <v>139</v>
      </c>
      <c r="H15" s="39" t="s">
        <v>140</v>
      </c>
      <c r="I15" s="39" t="s">
        <v>141</v>
      </c>
      <c r="J15" s="39" t="s">
        <v>142</v>
      </c>
      <c r="K15" s="3" t="s">
        <v>69</v>
      </c>
      <c r="L15" s="4" t="str">
        <f>VLOOKUP(M15,'Logic and Calculation'!$H:$J,3,0)</f>
        <v>Low</v>
      </c>
      <c r="M15" s="4">
        <v>4</v>
      </c>
      <c r="N15" s="4">
        <f>VLOOKUP(M15,'Logic and Calculation'!$H:$J,2,0)</f>
        <v>-5</v>
      </c>
      <c r="O15" s="13"/>
    </row>
    <row r="16" spans="1:15" ht="44.4" customHeight="1" x14ac:dyDescent="0.3">
      <c r="A16" s="36" t="s">
        <v>126</v>
      </c>
      <c r="B16" s="4" t="s">
        <v>143</v>
      </c>
      <c r="C16" s="4" t="s">
        <v>144</v>
      </c>
      <c r="D16" s="16" t="s">
        <v>18</v>
      </c>
      <c r="E16" s="3" t="s">
        <v>145</v>
      </c>
      <c r="F16" s="3" t="s">
        <v>146</v>
      </c>
      <c r="G16" s="3" t="s">
        <v>147</v>
      </c>
      <c r="H16" s="39" t="s">
        <v>148</v>
      </c>
      <c r="I16" s="39" t="s">
        <v>149</v>
      </c>
      <c r="J16" s="39" t="s">
        <v>150</v>
      </c>
      <c r="K16" s="3" t="s">
        <v>69</v>
      </c>
      <c r="L16" s="4" t="str">
        <f>VLOOKUP(M16,'Logic and Calculation'!$H:$J,3,0)</f>
        <v>Low</v>
      </c>
      <c r="M16" s="4">
        <v>4</v>
      </c>
      <c r="N16" s="4">
        <f>VLOOKUP(M16,'Logic and Calculation'!$H:$J,2,0)</f>
        <v>-5</v>
      </c>
      <c r="O16" s="13"/>
    </row>
    <row r="17" spans="1:15" ht="44.4" customHeight="1" x14ac:dyDescent="0.3">
      <c r="A17" s="36" t="s">
        <v>126</v>
      </c>
      <c r="B17" s="4" t="s">
        <v>151</v>
      </c>
      <c r="C17" s="4" t="s">
        <v>152</v>
      </c>
      <c r="D17" s="16" t="s">
        <v>18</v>
      </c>
      <c r="E17" s="3" t="s">
        <v>153</v>
      </c>
      <c r="F17" s="3" t="s">
        <v>154</v>
      </c>
      <c r="G17" s="3" t="s">
        <v>155</v>
      </c>
      <c r="H17" s="39" t="s">
        <v>156</v>
      </c>
      <c r="I17" s="39" t="s">
        <v>157</v>
      </c>
      <c r="J17" s="39" t="s">
        <v>158</v>
      </c>
      <c r="K17" s="3" t="s">
        <v>69</v>
      </c>
      <c r="L17" s="4" t="str">
        <f>VLOOKUP(M17,'Logic and Calculation'!$H:$J,3,0)</f>
        <v>Low</v>
      </c>
      <c r="M17" s="4">
        <v>4</v>
      </c>
      <c r="N17" s="4">
        <f>VLOOKUP(M17,'Logic and Calculation'!$H:$J,2,0)</f>
        <v>-5</v>
      </c>
      <c r="O17" s="13"/>
    </row>
    <row r="18" spans="1:15" ht="64.8" customHeight="1" x14ac:dyDescent="0.3">
      <c r="A18" s="36" t="s">
        <v>126</v>
      </c>
      <c r="B18" s="4" t="s">
        <v>159</v>
      </c>
      <c r="C18" s="4" t="s">
        <v>160</v>
      </c>
      <c r="D18" s="16" t="s">
        <v>18</v>
      </c>
      <c r="E18" s="3" t="s">
        <v>161</v>
      </c>
      <c r="F18" s="3" t="s">
        <v>162</v>
      </c>
      <c r="G18" s="3" t="s">
        <v>163</v>
      </c>
      <c r="H18" s="39" t="s">
        <v>164</v>
      </c>
      <c r="I18" s="39" t="s">
        <v>165</v>
      </c>
      <c r="J18" s="39" t="s">
        <v>166</v>
      </c>
      <c r="K18" s="3" t="s">
        <v>167</v>
      </c>
      <c r="L18" s="4" t="str">
        <f>VLOOKUP(M18,'Logic and Calculation'!$H:$J,3,0)</f>
        <v>Medium</v>
      </c>
      <c r="M18" s="4">
        <v>6</v>
      </c>
      <c r="N18" s="4">
        <f>VLOOKUP(M18,'Logic and Calculation'!$H:$J,2,0)</f>
        <v>-9</v>
      </c>
      <c r="O18" s="13"/>
    </row>
    <row r="19" spans="1:15" ht="44.4" customHeight="1" x14ac:dyDescent="0.3">
      <c r="A19" s="36" t="s">
        <v>126</v>
      </c>
      <c r="B19" s="4" t="s">
        <v>168</v>
      </c>
      <c r="C19" s="4" t="s">
        <v>169</v>
      </c>
      <c r="D19" s="16" t="s">
        <v>18</v>
      </c>
      <c r="E19" s="3" t="s">
        <v>170</v>
      </c>
      <c r="F19" s="3" t="s">
        <v>171</v>
      </c>
      <c r="G19" s="3" t="s">
        <v>172</v>
      </c>
      <c r="H19" s="39" t="s">
        <v>173</v>
      </c>
      <c r="I19" s="39" t="s">
        <v>174</v>
      </c>
      <c r="J19" s="39" t="s">
        <v>175</v>
      </c>
      <c r="K19" s="3" t="s">
        <v>176</v>
      </c>
      <c r="L19" s="4" t="str">
        <f>VLOOKUP(M19,'Logic and Calculation'!$H:$J,3,0)</f>
        <v>Low</v>
      </c>
      <c r="M19" s="4">
        <v>4</v>
      </c>
      <c r="N19" s="4">
        <f>VLOOKUP(M19,'Logic and Calculation'!$H:$J,2,0)</f>
        <v>-5</v>
      </c>
      <c r="O19" s="13"/>
    </row>
    <row r="20" spans="1:15" ht="68.400000000000006" customHeight="1" x14ac:dyDescent="0.3">
      <c r="A20" s="36" t="s">
        <v>126</v>
      </c>
      <c r="B20" s="4" t="s">
        <v>177</v>
      </c>
      <c r="C20" s="4" t="s">
        <v>178</v>
      </c>
      <c r="D20" s="16" t="s">
        <v>18</v>
      </c>
      <c r="E20" s="3" t="s">
        <v>179</v>
      </c>
      <c r="F20" s="3" t="s">
        <v>180</v>
      </c>
      <c r="G20" s="3" t="s">
        <v>181</v>
      </c>
      <c r="H20" s="39" t="s">
        <v>182</v>
      </c>
      <c r="I20" s="39" t="s">
        <v>183</v>
      </c>
      <c r="J20" s="39" t="s">
        <v>184</v>
      </c>
      <c r="K20" s="3" t="s">
        <v>185</v>
      </c>
      <c r="L20" s="4" t="str">
        <f>VLOOKUP(M20,'Logic and Calculation'!$H:$J,3,0)</f>
        <v>Medium</v>
      </c>
      <c r="M20" s="4">
        <v>5</v>
      </c>
      <c r="N20" s="4">
        <f>VLOOKUP(M20,'Logic and Calculation'!$H:$J,2,0)</f>
        <v>-7</v>
      </c>
      <c r="O20" s="13"/>
    </row>
    <row r="21" spans="1:15" ht="44.4" customHeight="1" x14ac:dyDescent="0.3">
      <c r="A21" s="36" t="s">
        <v>186</v>
      </c>
      <c r="B21" s="4" t="s">
        <v>187</v>
      </c>
      <c r="C21" s="4" t="s">
        <v>188</v>
      </c>
      <c r="D21" s="16" t="s">
        <v>18</v>
      </c>
      <c r="E21" s="3" t="s">
        <v>189</v>
      </c>
      <c r="F21" s="3" t="s">
        <v>190</v>
      </c>
      <c r="G21" s="3" t="s">
        <v>191</v>
      </c>
      <c r="H21" s="39" t="s">
        <v>192</v>
      </c>
      <c r="I21" s="39" t="s">
        <v>193</v>
      </c>
      <c r="J21" s="39" t="s">
        <v>194</v>
      </c>
      <c r="K21" s="3" t="s">
        <v>69</v>
      </c>
      <c r="L21" s="4" t="str">
        <f>VLOOKUP(M21,'Logic and Calculation'!$H:$J,3,0)</f>
        <v>Medium</v>
      </c>
      <c r="M21" s="4">
        <v>6</v>
      </c>
      <c r="N21" s="4">
        <f>VLOOKUP(M21,'Logic and Calculation'!$H:$J,2,0)</f>
        <v>-9</v>
      </c>
      <c r="O21" s="13"/>
    </row>
    <row r="22" spans="1:15" ht="48" customHeight="1" x14ac:dyDescent="0.3">
      <c r="A22" s="37" t="s">
        <v>186</v>
      </c>
      <c r="B22" s="6" t="s">
        <v>195</v>
      </c>
      <c r="C22" s="30" t="s">
        <v>196</v>
      </c>
      <c r="D22" s="34" t="s">
        <v>18</v>
      </c>
      <c r="E22" s="3" t="s">
        <v>197</v>
      </c>
      <c r="F22" s="3" t="s">
        <v>198</v>
      </c>
      <c r="G22" s="3" t="s">
        <v>199</v>
      </c>
      <c r="H22" s="39" t="s">
        <v>200</v>
      </c>
      <c r="I22" s="39" t="s">
        <v>201</v>
      </c>
      <c r="J22" s="39" t="s">
        <v>202</v>
      </c>
      <c r="K22" s="3" t="s">
        <v>69</v>
      </c>
      <c r="L22" s="30" t="str">
        <f>VLOOKUP(M22,'Logic and Calculation'!$H:$J,3,0)</f>
        <v>Medium</v>
      </c>
      <c r="M22" s="30">
        <v>5</v>
      </c>
      <c r="N22" s="30">
        <f>VLOOKUP(M22,'Logic and Calculation'!$H:$J,2,0)</f>
        <v>-7</v>
      </c>
      <c r="O22" s="31"/>
    </row>
    <row r="23" spans="1:15" ht="44.4" customHeight="1" x14ac:dyDescent="0.3">
      <c r="A23" s="36" t="s">
        <v>70</v>
      </c>
      <c r="B23" s="6" t="s">
        <v>203</v>
      </c>
      <c r="C23" s="4" t="s">
        <v>204</v>
      </c>
      <c r="D23" s="16" t="s">
        <v>18</v>
      </c>
      <c r="E23" s="3" t="s">
        <v>205</v>
      </c>
      <c r="F23" s="3" t="s">
        <v>206</v>
      </c>
      <c r="G23" s="3" t="s">
        <v>207</v>
      </c>
      <c r="H23" s="38" t="s">
        <v>208</v>
      </c>
      <c r="I23" s="38" t="s">
        <v>209</v>
      </c>
      <c r="J23" s="38" t="s">
        <v>210</v>
      </c>
      <c r="K23" s="3" t="s">
        <v>79</v>
      </c>
      <c r="L23" s="4" t="str">
        <f>VLOOKUP(M23,'Logic and Calculation'!$H:$J,3,0)</f>
        <v>High</v>
      </c>
      <c r="M23" s="4">
        <v>8</v>
      </c>
      <c r="N23" s="4">
        <f>VLOOKUP(M23,'Logic and Calculation'!$H:$J,2,0)</f>
        <v>-13</v>
      </c>
      <c r="O23" s="13" t="s">
        <v>211</v>
      </c>
    </row>
  </sheetData>
  <conditionalFormatting sqref="D2:D22">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22"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9"/>
  <sheetViews>
    <sheetView workbookViewId="0">
      <pane ySplit="7" topLeftCell="A8" activePane="bottomLeft" state="frozen"/>
      <selection pane="bottomLeft" activeCell="E40" sqref="E40"/>
    </sheetView>
  </sheetViews>
  <sheetFormatPr defaultRowHeight="14.4" x14ac:dyDescent="0.3"/>
  <cols>
    <col min="1" max="1" width="12"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1</v>
      </c>
      <c r="B1" s="2" t="s">
        <v>0</v>
      </c>
      <c r="C1" s="2" t="s">
        <v>2</v>
      </c>
      <c r="D1" s="2" t="s">
        <v>3</v>
      </c>
      <c r="E1" s="2" t="s">
        <v>13</v>
      </c>
      <c r="F1" s="2" t="s">
        <v>224</v>
      </c>
    </row>
    <row r="2" spans="1:13" x14ac:dyDescent="0.3">
      <c r="A2" t="s">
        <v>225</v>
      </c>
      <c r="B2">
        <v>100</v>
      </c>
      <c r="D2" t="s">
        <v>226</v>
      </c>
      <c r="H2" s="10" t="s">
        <v>12</v>
      </c>
      <c r="I2" s="10" t="s">
        <v>227</v>
      </c>
      <c r="J2" s="10" t="s">
        <v>228</v>
      </c>
      <c r="L2" s="23" t="s">
        <v>220</v>
      </c>
      <c r="M2" s="23" t="s">
        <v>229</v>
      </c>
    </row>
    <row r="3" spans="1:13" x14ac:dyDescent="0.3">
      <c r="A3" t="s">
        <v>230</v>
      </c>
      <c r="B3">
        <f>SUM(F8:F955)</f>
        <v>0</v>
      </c>
      <c r="D3" t="s">
        <v>231</v>
      </c>
      <c r="H3">
        <v>10</v>
      </c>
      <c r="I3">
        <v>-18</v>
      </c>
      <c r="J3" t="s">
        <v>232</v>
      </c>
      <c r="L3" t="s">
        <v>233</v>
      </c>
      <c r="M3" t="s">
        <v>234</v>
      </c>
    </row>
    <row r="4" spans="1:13" x14ac:dyDescent="0.3">
      <c r="A4" t="s">
        <v>235</v>
      </c>
      <c r="B4">
        <f>B2+B3</f>
        <v>100</v>
      </c>
      <c r="D4" t="s">
        <v>236</v>
      </c>
      <c r="H4">
        <v>9</v>
      </c>
      <c r="I4">
        <v>-15</v>
      </c>
      <c r="J4" t="s">
        <v>237</v>
      </c>
      <c r="L4" t="s">
        <v>238</v>
      </c>
      <c r="M4" t="s">
        <v>239</v>
      </c>
    </row>
    <row r="5" spans="1:13" x14ac:dyDescent="0.3">
      <c r="A5" t="s">
        <v>220</v>
      </c>
      <c r="B5" t="str">
        <f>IF(B4&gt;=75,"Is Compliant",IF(AND(B4&lt;75,B4&gt;=40),"Need Improvement","Non-Compliant"))</f>
        <v>Is Compliant</v>
      </c>
      <c r="D5" t="s">
        <v>240</v>
      </c>
      <c r="H5">
        <v>8</v>
      </c>
      <c r="I5">
        <v>-13</v>
      </c>
      <c r="J5" t="s">
        <v>237</v>
      </c>
      <c r="L5" t="s">
        <v>241</v>
      </c>
      <c r="M5" t="s">
        <v>242</v>
      </c>
    </row>
    <row r="6" spans="1:13" x14ac:dyDescent="0.3">
      <c r="A6" t="s">
        <v>243</v>
      </c>
      <c r="B6" t="s">
        <v>244</v>
      </c>
      <c r="H6">
        <v>7</v>
      </c>
      <c r="I6">
        <v>-11</v>
      </c>
      <c r="J6" t="s">
        <v>245</v>
      </c>
    </row>
    <row r="7" spans="1:13" x14ac:dyDescent="0.3">
      <c r="H7">
        <v>6</v>
      </c>
      <c r="I7">
        <v>-9</v>
      </c>
      <c r="J7" t="s">
        <v>245</v>
      </c>
    </row>
    <row r="8" spans="1:13" x14ac:dyDescent="0.3">
      <c r="A8" t="str">
        <f>Framework_Reference!A2</f>
        <v>Account Governance</v>
      </c>
      <c r="B8" t="str">
        <f>Framework_Reference!B2</f>
        <v>F001</v>
      </c>
      <c r="C8" t="str">
        <f>Framework_Reference!C2</f>
        <v>Naming Convention — QT Prefix</v>
      </c>
      <c r="D8" t="str">
        <f>Framework_Reference!D2</f>
        <v>OK</v>
      </c>
      <c r="E8">
        <f>Framework_Reference!N2</f>
        <v>-13</v>
      </c>
      <c r="F8">
        <f t="shared" ref="F8:F29" si="0">IF(D8="FLAG",E8,IF(D8="PARTIAL",E8*0.5,0))</f>
        <v>0</v>
      </c>
      <c r="H8">
        <v>5</v>
      </c>
      <c r="I8">
        <v>-7</v>
      </c>
      <c r="J8" t="s">
        <v>245</v>
      </c>
    </row>
    <row r="9" spans="1:13" x14ac:dyDescent="0.3">
      <c r="A9" t="str">
        <f>Framework_Reference!A3</f>
        <v>Account Governance</v>
      </c>
      <c r="B9" t="str">
        <f>Framework_Reference!B3</f>
        <v>F002</v>
      </c>
      <c r="C9" t="str">
        <f>Framework_Reference!C3</f>
        <v>Naming Convention — Campaign Type Token</v>
      </c>
      <c r="D9" t="str">
        <f>Framework_Reference!D3</f>
        <v>OK</v>
      </c>
      <c r="E9">
        <f>Framework_Reference!N3</f>
        <v>-13</v>
      </c>
      <c r="F9">
        <f t="shared" si="0"/>
        <v>0</v>
      </c>
      <c r="H9">
        <v>4</v>
      </c>
      <c r="I9">
        <v>-5</v>
      </c>
      <c r="J9" t="s">
        <v>246</v>
      </c>
    </row>
    <row r="10" spans="1:13" x14ac:dyDescent="0.3">
      <c r="A10" t="str">
        <f>Framework_Reference!A4</f>
        <v>Account Governance</v>
      </c>
      <c r="B10" t="str">
        <f>Framework_Reference!B4</f>
        <v>F003</v>
      </c>
      <c r="C10" t="str">
        <f>Framework_Reference!C4</f>
        <v>Naming Convention — Strategy Tag</v>
      </c>
      <c r="D10" t="str">
        <f>Framework_Reference!D4</f>
        <v>OK</v>
      </c>
      <c r="E10">
        <f>Framework_Reference!N4</f>
        <v>-13</v>
      </c>
      <c r="F10">
        <f t="shared" si="0"/>
        <v>0</v>
      </c>
      <c r="H10">
        <v>3</v>
      </c>
      <c r="I10">
        <v>-3</v>
      </c>
      <c r="J10" t="s">
        <v>246</v>
      </c>
    </row>
    <row r="11" spans="1:13" x14ac:dyDescent="0.3">
      <c r="A11" t="str">
        <f>Framework_Reference!A5</f>
        <v>Account Governance</v>
      </c>
      <c r="B11" t="str">
        <f>Framework_Reference!B5</f>
        <v>F004</v>
      </c>
      <c r="C11" t="str">
        <f>Framework_Reference!C5</f>
        <v>Display Expansion Disabled on Search</v>
      </c>
      <c r="D11" t="str">
        <f>Framework_Reference!D5</f>
        <v>OK</v>
      </c>
      <c r="E11">
        <f>Framework_Reference!N5</f>
        <v>-9</v>
      </c>
      <c r="F11">
        <f t="shared" si="0"/>
        <v>0</v>
      </c>
      <c r="H11">
        <v>2</v>
      </c>
      <c r="I11">
        <v>-2</v>
      </c>
      <c r="J11" t="s">
        <v>247</v>
      </c>
    </row>
    <row r="12" spans="1:13" x14ac:dyDescent="0.3">
      <c r="A12" t="str">
        <f>Framework_Reference!A6</f>
        <v>Account Governance</v>
      </c>
      <c r="B12" t="str">
        <f>Framework_Reference!B6</f>
        <v>F005</v>
      </c>
      <c r="C12" t="str">
        <f>Framework_Reference!C6</f>
        <v>Promotion End Dates</v>
      </c>
      <c r="D12" t="str">
        <f>Framework_Reference!D6</f>
        <v>OK</v>
      </c>
      <c r="E12">
        <f>Framework_Reference!N6</f>
        <v>-7</v>
      </c>
      <c r="F12">
        <f t="shared" si="0"/>
        <v>0</v>
      </c>
      <c r="H12">
        <v>1</v>
      </c>
      <c r="I12">
        <v>-1</v>
      </c>
      <c r="J12" t="s">
        <v>247</v>
      </c>
    </row>
    <row r="13" spans="1:13" x14ac:dyDescent="0.3">
      <c r="A13" t="str">
        <f>Framework_Reference!A7</f>
        <v>Account Governance</v>
      </c>
      <c r="B13" t="str">
        <f>Framework_Reference!B7</f>
        <v>F006</v>
      </c>
      <c r="C13" t="str">
        <f>Framework_Reference!C7</f>
        <v>PMAX Automation Settings Disabled</v>
      </c>
      <c r="D13" t="str">
        <f>Framework_Reference!D7</f>
        <v>OK</v>
      </c>
      <c r="E13">
        <f>Framework_Reference!N7</f>
        <v>-13</v>
      </c>
      <c r="F13">
        <f t="shared" si="0"/>
        <v>0</v>
      </c>
    </row>
    <row r="14" spans="1:13" x14ac:dyDescent="0.3">
      <c r="A14" t="str">
        <f>Framework_Reference!A8</f>
        <v>Keyword &amp; Targeting</v>
      </c>
      <c r="B14" t="str">
        <f>Framework_Reference!B8</f>
        <v>F007</v>
      </c>
      <c r="C14" t="str">
        <f>Framework_Reference!C8</f>
        <v>Match Type Governance</v>
      </c>
      <c r="D14" t="str">
        <f>Framework_Reference!D8</f>
        <v>OK</v>
      </c>
      <c r="E14">
        <f>Framework_Reference!N8</f>
        <v>-13</v>
      </c>
      <c r="F14">
        <f t="shared" si="0"/>
        <v>0</v>
      </c>
    </row>
    <row r="15" spans="1:13" x14ac:dyDescent="0.3">
      <c r="A15" t="str">
        <f>Framework_Reference!A9</f>
        <v>Keyword &amp; Targeting</v>
      </c>
      <c r="B15" t="str">
        <f>Framework_Reference!B9</f>
        <v>F008</v>
      </c>
      <c r="C15" t="str">
        <f>Framework_Reference!C9</f>
        <v>TM Terms Uploaded to QT Portal</v>
      </c>
      <c r="D15" t="str">
        <f>Framework_Reference!D9</f>
        <v>OK</v>
      </c>
      <c r="E15">
        <f>Framework_Reference!N9</f>
        <v>-13</v>
      </c>
      <c r="F15">
        <f t="shared" si="0"/>
        <v>0</v>
      </c>
    </row>
    <row r="16" spans="1:13" x14ac:dyDescent="0.3">
      <c r="A16" t="str">
        <f>Framework_Reference!A10</f>
        <v>Keyword &amp; Targeting</v>
      </c>
      <c r="B16" t="str">
        <f>Framework_Reference!B10</f>
        <v>F009</v>
      </c>
      <c r="C16" t="str">
        <f>Framework_Reference!C10</f>
        <v>Branded Search Campaign Active</v>
      </c>
      <c r="D16" t="str">
        <f>Framework_Reference!D10</f>
        <v>OK</v>
      </c>
      <c r="E16">
        <f>Framework_Reference!N10</f>
        <v>-18</v>
      </c>
      <c r="F16">
        <f t="shared" si="0"/>
        <v>0</v>
      </c>
    </row>
    <row r="17" spans="1:6" x14ac:dyDescent="0.3">
      <c r="A17" t="str">
        <f>Framework_Reference!A11</f>
        <v>Keyword &amp; Targeting</v>
      </c>
      <c r="B17" t="str">
        <f>Framework_Reference!B11</f>
        <v>F010</v>
      </c>
      <c r="C17" t="str">
        <f>Framework_Reference!C11</f>
        <v>Search Term Waste</v>
      </c>
      <c r="D17" t="str">
        <f>Framework_Reference!D11</f>
        <v>OK</v>
      </c>
      <c r="E17">
        <f>Framework_Reference!N11</f>
        <v>-13</v>
      </c>
      <c r="F17">
        <f t="shared" si="0"/>
        <v>0</v>
      </c>
    </row>
    <row r="18" spans="1:6" x14ac:dyDescent="0.3">
      <c r="A18" t="str">
        <f>Framework_Reference!A12</f>
        <v>Keyword &amp; Targeting</v>
      </c>
      <c r="B18" t="str">
        <f>Framework_Reference!B12</f>
        <v>F011</v>
      </c>
      <c r="C18" t="str">
        <f>Framework_Reference!C12</f>
        <v>Negative Keyword Coverage</v>
      </c>
      <c r="D18" t="str">
        <f>Framework_Reference!D12</f>
        <v>OK</v>
      </c>
      <c r="E18">
        <f>Framework_Reference!N12</f>
        <v>-11</v>
      </c>
      <c r="F18">
        <f t="shared" si="0"/>
        <v>0</v>
      </c>
    </row>
    <row r="19" spans="1:6" x14ac:dyDescent="0.3">
      <c r="A19" t="str">
        <f>Framework_Reference!A13</f>
        <v>Budget &amp; Bid Strategy</v>
      </c>
      <c r="B19" t="str">
        <f>Framework_Reference!B13</f>
        <v>F012</v>
      </c>
      <c r="C19" t="str">
        <f>Framework_Reference!C13</f>
        <v>Budget Concentration — PMAX Dominance</v>
      </c>
      <c r="D19" t="str">
        <f>Framework_Reference!D13</f>
        <v>OK</v>
      </c>
      <c r="E19">
        <f>Framework_Reference!N13</f>
        <v>-13</v>
      </c>
      <c r="F19">
        <f t="shared" si="0"/>
        <v>0</v>
      </c>
    </row>
    <row r="20" spans="1:6" x14ac:dyDescent="0.3">
      <c r="A20" t="str">
        <f>Framework_Reference!A14</f>
        <v>Creative &amp; Feed</v>
      </c>
      <c r="B20" t="str">
        <f>Framework_Reference!B14</f>
        <v>F013</v>
      </c>
      <c r="C20" t="str">
        <f>Framework_Reference!C14</f>
        <v>Ad Extensions — Sitelinks</v>
      </c>
      <c r="D20" t="str">
        <f>Framework_Reference!D14</f>
        <v>OK</v>
      </c>
      <c r="E20">
        <f>Framework_Reference!N14</f>
        <v>-9</v>
      </c>
      <c r="F20">
        <f t="shared" si="0"/>
        <v>0</v>
      </c>
    </row>
    <row r="21" spans="1:6" x14ac:dyDescent="0.3">
      <c r="A21" t="str">
        <f>Framework_Reference!A15</f>
        <v>Creative &amp; Feed</v>
      </c>
      <c r="B21" t="str">
        <f>Framework_Reference!B15</f>
        <v>F014</v>
      </c>
      <c r="C21" t="str">
        <f>Framework_Reference!C15</f>
        <v>Ad Extensions — Structured Snippets</v>
      </c>
      <c r="D21" t="str">
        <f>Framework_Reference!D15</f>
        <v>OK</v>
      </c>
      <c r="E21">
        <f>Framework_Reference!N15</f>
        <v>-5</v>
      </c>
      <c r="F21">
        <f t="shared" si="0"/>
        <v>0</v>
      </c>
    </row>
    <row r="22" spans="1:6" x14ac:dyDescent="0.3">
      <c r="A22" t="str">
        <f>Framework_Reference!A16</f>
        <v>Creative &amp; Feed</v>
      </c>
      <c r="B22" t="str">
        <f>Framework_Reference!B16</f>
        <v>F015</v>
      </c>
      <c r="C22" t="str">
        <f>Framework_Reference!C16</f>
        <v>Ad Extensions — Callouts</v>
      </c>
      <c r="D22" t="str">
        <f>Framework_Reference!D16</f>
        <v>OK</v>
      </c>
      <c r="E22">
        <f>Framework_Reference!N16</f>
        <v>-5</v>
      </c>
      <c r="F22">
        <f t="shared" si="0"/>
        <v>0</v>
      </c>
    </row>
    <row r="23" spans="1:6" x14ac:dyDescent="0.3">
      <c r="A23" t="str">
        <f>Framework_Reference!A17</f>
        <v>Creative &amp; Feed</v>
      </c>
      <c r="B23" t="str">
        <f>Framework_Reference!B17</f>
        <v>F016</v>
      </c>
      <c r="C23" t="str">
        <f>Framework_Reference!C17</f>
        <v>Business Name Configured</v>
      </c>
      <c r="D23" t="str">
        <f>Framework_Reference!D17</f>
        <v>OK</v>
      </c>
      <c r="E23">
        <f>Framework_Reference!N17</f>
        <v>-5</v>
      </c>
      <c r="F23">
        <f t="shared" si="0"/>
        <v>0</v>
      </c>
    </row>
    <row r="24" spans="1:6" x14ac:dyDescent="0.3">
      <c r="A24" t="str">
        <f>Framework_Reference!A18</f>
        <v>Creative &amp; Feed</v>
      </c>
      <c r="B24" t="str">
        <f>Framework_Reference!B18</f>
        <v>F017</v>
      </c>
      <c r="C24" t="str">
        <f>Framework_Reference!C18</f>
        <v>Logos Approved</v>
      </c>
      <c r="D24" t="str">
        <f>Framework_Reference!D18</f>
        <v>OK</v>
      </c>
      <c r="E24">
        <f>Framework_Reference!N18</f>
        <v>-9</v>
      </c>
      <c r="F24">
        <f t="shared" si="0"/>
        <v>0</v>
      </c>
    </row>
    <row r="25" spans="1:6" x14ac:dyDescent="0.3">
      <c r="A25" t="str">
        <f>Framework_Reference!A19</f>
        <v>Creative &amp; Feed</v>
      </c>
      <c r="B25" t="str">
        <f>Framework_Reference!B19</f>
        <v>F018</v>
      </c>
      <c r="C25" t="str">
        <f>Framework_Reference!C19</f>
        <v>Ad Strength</v>
      </c>
      <c r="D25" t="str">
        <f>Framework_Reference!D19</f>
        <v>OK</v>
      </c>
      <c r="E25">
        <f>Framework_Reference!N19</f>
        <v>-5</v>
      </c>
      <c r="F25">
        <f t="shared" si="0"/>
        <v>0</v>
      </c>
    </row>
    <row r="26" spans="1:6" x14ac:dyDescent="0.3">
      <c r="A26" t="str">
        <f>Framework_Reference!A20</f>
        <v>Creative &amp; Feed</v>
      </c>
      <c r="B26" t="str">
        <f>Framework_Reference!B20</f>
        <v>F019</v>
      </c>
      <c r="C26" t="str">
        <f>Framework_Reference!C20</f>
        <v>Quartile Keyword Expander Enabled</v>
      </c>
      <c r="D26" t="str">
        <f>Framework_Reference!D20</f>
        <v>OK</v>
      </c>
      <c r="E26">
        <f>Framework_Reference!N20</f>
        <v>-7</v>
      </c>
      <c r="F26">
        <f t="shared" si="0"/>
        <v>0</v>
      </c>
    </row>
    <row r="27" spans="1:6" x14ac:dyDescent="0.3">
      <c r="A27" t="str">
        <f>Framework_Reference!A21</f>
        <v>Audience &amp; Funnel</v>
      </c>
      <c r="B27" t="str">
        <f>Framework_Reference!B21</f>
        <v>F020</v>
      </c>
      <c r="C27" t="str">
        <f>Framework_Reference!C21</f>
        <v>PMAX Audience Requirements</v>
      </c>
      <c r="D27" t="str">
        <f>Framework_Reference!D21</f>
        <v>OK</v>
      </c>
      <c r="E27">
        <f>Framework_Reference!N21</f>
        <v>-9</v>
      </c>
      <c r="F27">
        <f t="shared" si="0"/>
        <v>0</v>
      </c>
    </row>
    <row r="28" spans="1:6" x14ac:dyDescent="0.3">
      <c r="A28" t="str">
        <f>Framework_Reference!A22</f>
        <v>Audience &amp; Funnel</v>
      </c>
      <c r="B28" t="str">
        <f>Framework_Reference!B22</f>
        <v>F021</v>
      </c>
      <c r="C28" t="str">
        <f>Framework_Reference!C22</f>
        <v>PMAX Search Themes</v>
      </c>
      <c r="D28" t="str">
        <f>Framework_Reference!D22</f>
        <v>OK</v>
      </c>
      <c r="E28">
        <f>Framework_Reference!N22</f>
        <v>-7</v>
      </c>
      <c r="F28">
        <f t="shared" si="0"/>
        <v>0</v>
      </c>
    </row>
    <row r="29" spans="1:6" x14ac:dyDescent="0.3">
      <c r="A29" t="str">
        <f>Framework_Reference!A23</f>
        <v>Keyword &amp; Targeting</v>
      </c>
      <c r="B29" t="str">
        <f>Framework_Reference!B23</f>
        <v>F022</v>
      </c>
      <c r="C29" t="str">
        <f>Framework_Reference!C23</f>
        <v>Match Type Governance — EXACT Coverage</v>
      </c>
      <c r="D29" t="str">
        <f>Framework_Reference!D23</f>
        <v>OK</v>
      </c>
      <c r="E29">
        <f>Framework_Reference!N23</f>
        <v>-13</v>
      </c>
      <c r="F29">
        <f t="shared" si="0"/>
        <v>0</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3"/>
  <sheetViews>
    <sheetView tabSelected="1" workbookViewId="0">
      <pane ySplit="1" topLeftCell="A22" activePane="bottomLeft" state="frozen"/>
      <selection pane="bottomLeft" activeCell="H23" sqref="H23"/>
    </sheetView>
  </sheetViews>
  <sheetFormatPr defaultRowHeight="14.4" x14ac:dyDescent="0.3"/>
  <cols>
    <col min="1" max="1" width="12" customWidth="1"/>
    <col min="2" max="2" width="18" customWidth="1"/>
    <col min="3" max="3" width="30" customWidth="1"/>
    <col min="4" max="4" width="100" customWidth="1"/>
  </cols>
  <sheetData>
    <row r="1" spans="1:4" ht="28.05" customHeight="1" x14ac:dyDescent="0.3">
      <c r="A1" s="56" t="s">
        <v>1</v>
      </c>
      <c r="B1" s="56" t="s">
        <v>0</v>
      </c>
      <c r="C1" s="56" t="s">
        <v>2</v>
      </c>
      <c r="D1" s="56" t="s">
        <v>248</v>
      </c>
    </row>
    <row r="2" spans="1:4" ht="319.95" customHeight="1" x14ac:dyDescent="0.3">
      <c r="A2" s="55" t="s">
        <v>16</v>
      </c>
      <c r="B2" s="54" t="s">
        <v>15</v>
      </c>
      <c r="C2" s="53" t="s">
        <v>17</v>
      </c>
      <c r="D2" s="40" t="s">
        <v>249</v>
      </c>
    </row>
    <row r="3" spans="1:4" ht="319.95" customHeight="1" x14ac:dyDescent="0.3">
      <c r="A3" s="55" t="s">
        <v>26</v>
      </c>
      <c r="B3" s="54" t="s">
        <v>15</v>
      </c>
      <c r="C3" s="53" t="s">
        <v>27</v>
      </c>
      <c r="D3" s="40" t="s">
        <v>250</v>
      </c>
    </row>
    <row r="4" spans="1:4" ht="319.95" customHeight="1" x14ac:dyDescent="0.3">
      <c r="A4" s="55" t="s">
        <v>35</v>
      </c>
      <c r="B4" s="54" t="s">
        <v>15</v>
      </c>
      <c r="C4" s="53" t="s">
        <v>36</v>
      </c>
      <c r="D4" s="40" t="s">
        <v>251</v>
      </c>
    </row>
    <row r="5" spans="1:4" ht="319.95" customHeight="1" x14ac:dyDescent="0.3">
      <c r="A5" s="55" t="s">
        <v>43</v>
      </c>
      <c r="B5" s="54" t="s">
        <v>15</v>
      </c>
      <c r="C5" s="53" t="s">
        <v>44</v>
      </c>
      <c r="D5" s="40" t="s">
        <v>252</v>
      </c>
    </row>
    <row r="6" spans="1:4" ht="319.95" customHeight="1" x14ac:dyDescent="0.3">
      <c r="A6" s="55" t="s">
        <v>52</v>
      </c>
      <c r="B6" s="54" t="s">
        <v>15</v>
      </c>
      <c r="C6" s="53" t="s">
        <v>53</v>
      </c>
      <c r="D6" s="40" t="s">
        <v>253</v>
      </c>
    </row>
    <row r="7" spans="1:4" ht="319.95" customHeight="1" x14ac:dyDescent="0.3">
      <c r="A7" s="55" t="s">
        <v>61</v>
      </c>
      <c r="B7" s="54" t="s">
        <v>15</v>
      </c>
      <c r="C7" s="53" t="s">
        <v>62</v>
      </c>
      <c r="D7" s="40" t="s">
        <v>254</v>
      </c>
    </row>
    <row r="8" spans="1:4" ht="319.95" customHeight="1" x14ac:dyDescent="0.3">
      <c r="A8" s="52" t="s">
        <v>71</v>
      </c>
      <c r="B8" s="51" t="s">
        <v>70</v>
      </c>
      <c r="C8" s="50" t="s">
        <v>72</v>
      </c>
      <c r="D8" s="40" t="s">
        <v>255</v>
      </c>
    </row>
    <row r="9" spans="1:4" ht="319.95" customHeight="1" x14ac:dyDescent="0.3">
      <c r="A9" s="52" t="s">
        <v>80</v>
      </c>
      <c r="B9" s="51" t="s">
        <v>70</v>
      </c>
      <c r="C9" s="50" t="s">
        <v>81</v>
      </c>
      <c r="D9" s="40" t="s">
        <v>256</v>
      </c>
    </row>
    <row r="10" spans="1:4" ht="319.95" customHeight="1" x14ac:dyDescent="0.3">
      <c r="A10" s="52" t="s">
        <v>89</v>
      </c>
      <c r="B10" s="51" t="s">
        <v>70</v>
      </c>
      <c r="C10" s="50" t="s">
        <v>90</v>
      </c>
      <c r="D10" s="40" t="s">
        <v>257</v>
      </c>
    </row>
    <row r="11" spans="1:4" ht="319.95" customHeight="1" x14ac:dyDescent="0.3">
      <c r="A11" s="52" t="s">
        <v>98</v>
      </c>
      <c r="B11" s="51" t="s">
        <v>70</v>
      </c>
      <c r="C11" s="50" t="s">
        <v>99</v>
      </c>
      <c r="D11" s="40" t="s">
        <v>258</v>
      </c>
    </row>
    <row r="12" spans="1:4" ht="319.95" customHeight="1" x14ac:dyDescent="0.3">
      <c r="A12" s="52" t="s">
        <v>107</v>
      </c>
      <c r="B12" s="51" t="s">
        <v>70</v>
      </c>
      <c r="C12" s="50" t="s">
        <v>108</v>
      </c>
      <c r="D12" s="40" t="s">
        <v>259</v>
      </c>
    </row>
    <row r="13" spans="1:4" ht="319.95" customHeight="1" x14ac:dyDescent="0.3">
      <c r="A13" s="49" t="s">
        <v>117</v>
      </c>
      <c r="B13" s="48" t="s">
        <v>116</v>
      </c>
      <c r="C13" s="47" t="s">
        <v>118</v>
      </c>
      <c r="D13" s="40" t="s">
        <v>260</v>
      </c>
    </row>
    <row r="14" spans="1:4" ht="319.95" customHeight="1" x14ac:dyDescent="0.3">
      <c r="A14" s="46" t="s">
        <v>127</v>
      </c>
      <c r="B14" s="45" t="s">
        <v>126</v>
      </c>
      <c r="C14" s="44" t="s">
        <v>128</v>
      </c>
      <c r="D14" s="40" t="s">
        <v>261</v>
      </c>
    </row>
    <row r="15" spans="1:4" ht="319.95" customHeight="1" x14ac:dyDescent="0.3">
      <c r="A15" s="46" t="s">
        <v>135</v>
      </c>
      <c r="B15" s="45" t="s">
        <v>126</v>
      </c>
      <c r="C15" s="44" t="s">
        <v>136</v>
      </c>
      <c r="D15" s="40" t="s">
        <v>262</v>
      </c>
    </row>
    <row r="16" spans="1:4" ht="319.95" customHeight="1" x14ac:dyDescent="0.3">
      <c r="A16" s="46" t="s">
        <v>143</v>
      </c>
      <c r="B16" s="45" t="s">
        <v>126</v>
      </c>
      <c r="C16" s="44" t="s">
        <v>144</v>
      </c>
      <c r="D16" s="40" t="s">
        <v>263</v>
      </c>
    </row>
    <row r="17" spans="1:4" ht="319.95" customHeight="1" x14ac:dyDescent="0.3">
      <c r="A17" s="46" t="s">
        <v>151</v>
      </c>
      <c r="B17" s="45" t="s">
        <v>126</v>
      </c>
      <c r="C17" s="44" t="s">
        <v>152</v>
      </c>
      <c r="D17" s="40" t="s">
        <v>264</v>
      </c>
    </row>
    <row r="18" spans="1:4" ht="319.95" customHeight="1" x14ac:dyDescent="0.3">
      <c r="A18" s="46" t="s">
        <v>159</v>
      </c>
      <c r="B18" s="45" t="s">
        <v>126</v>
      </c>
      <c r="C18" s="44" t="s">
        <v>160</v>
      </c>
      <c r="D18" s="40" t="s">
        <v>265</v>
      </c>
    </row>
    <row r="19" spans="1:4" ht="319.95" customHeight="1" x14ac:dyDescent="0.3">
      <c r="A19" s="46" t="s">
        <v>168</v>
      </c>
      <c r="B19" s="45" t="s">
        <v>126</v>
      </c>
      <c r="C19" s="44" t="s">
        <v>169</v>
      </c>
      <c r="D19" s="40" t="s">
        <v>266</v>
      </c>
    </row>
    <row r="20" spans="1:4" ht="319.95" customHeight="1" x14ac:dyDescent="0.3">
      <c r="A20" s="46" t="s">
        <v>177</v>
      </c>
      <c r="B20" s="45" t="s">
        <v>126</v>
      </c>
      <c r="C20" s="44" t="s">
        <v>178</v>
      </c>
      <c r="D20" s="40" t="s">
        <v>267</v>
      </c>
    </row>
    <row r="21" spans="1:4" ht="319.95" customHeight="1" x14ac:dyDescent="0.3">
      <c r="A21" s="43" t="s">
        <v>187</v>
      </c>
      <c r="B21" s="42" t="s">
        <v>186</v>
      </c>
      <c r="C21" s="41" t="s">
        <v>188</v>
      </c>
      <c r="D21" s="40" t="s">
        <v>268</v>
      </c>
    </row>
    <row r="22" spans="1:4" ht="319.95" customHeight="1" x14ac:dyDescent="0.3">
      <c r="A22" s="43" t="s">
        <v>195</v>
      </c>
      <c r="B22" s="42" t="s">
        <v>186</v>
      </c>
      <c r="C22" s="41" t="s">
        <v>196</v>
      </c>
      <c r="D22" s="40" t="s">
        <v>269</v>
      </c>
    </row>
    <row r="23" spans="1:4" ht="319.95" customHeight="1" x14ac:dyDescent="0.3">
      <c r="A23" s="52" t="s">
        <v>203</v>
      </c>
      <c r="B23" s="51" t="s">
        <v>70</v>
      </c>
      <c r="C23" s="50" t="s">
        <v>204</v>
      </c>
      <c r="D23" s="40" t="s">
        <v>270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Framework_Analysis</vt:lpstr>
      <vt:lpstr>Framework_Reference</vt:lpstr>
      <vt:lpstr>Logic and Calculation</vt:lpstr>
      <vt:lpstr>Framework — WHAT Definitions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2026-07-09T21:21:45Z</dcterms:modified>
</cp:coreProperties>
</file>