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7720" yWindow="0" windowWidth="29040" windowHeight="15720" tabRatio="600" firstSheet="1" activeTab="1" autoFilterDateGrouping="1"/>
  </bookViews>
  <sheets>
    <sheet xmlns:r="http://schemas.openxmlformats.org/officeDocument/2006/relationships" name="Framework_Analysis" sheetId="1" state="visible" r:id="rId1"/>
    <sheet xmlns:r="http://schemas.openxmlformats.org/officeDocument/2006/relationships" name="Framework_Reference" sheetId="2" state="visible" r:id="rId2"/>
    <sheet xmlns:r="http://schemas.openxmlformats.org/officeDocument/2006/relationships" name="Logic and Calculation" sheetId="3" state="visible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1">
    <font>
      <name val="Calibri"/>
      <family val="2"/>
      <color theme="1"/>
      <sz val="11"/>
      <scheme val="minor"/>
    </font>
    <font>
      <name val="Calibri"/>
      <family val="2"/>
      <b val="1"/>
      <sz val="16"/>
    </font>
    <font>
      <name val="Calibri"/>
      <family val="2"/>
      <b val="1"/>
      <sz val="10"/>
    </font>
    <font>
      <name val="Calibri"/>
      <family val="2"/>
      <sz val="10"/>
    </font>
    <font>
      <name val="Calibri"/>
      <family val="2"/>
      <b val="1"/>
      <sz val="12"/>
    </font>
    <font>
      <name val="Calibri"/>
      <family val="2"/>
      <b val="1"/>
      <color rgb="FFFFFFFF"/>
      <sz val="10"/>
    </font>
    <font>
      <name val="Calibri"/>
      <family val="2"/>
      <sz val="9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11"/>
    </font>
    <font>
      <name val="Calibri"/>
      <family val="2"/>
      <sz val="12"/>
    </font>
    <font>
      <name val="Calibri"/>
      <family val="2"/>
      <sz val="8"/>
      <scheme val="minor"/>
    </font>
  </fonts>
  <fills count="9">
    <fill>
      <patternFill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"/>
      </patternFill>
    </fill>
    <fill>
      <patternFill patternType="solid">
        <fgColor rgb="FFFFC000"/>
        <bgColor indexed="64"/>
      </patternFill>
    </fill>
    <fill>
      <patternFill patternType="solid">
        <fgColor rgb="FF1F4E79"/>
        <bgColor indexed="64"/>
      </patternFill>
    </fill>
  </fills>
  <borders count="19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pivotButton="0" quotePrefix="0" xfId="0"/>
    <xf numFmtId="0" fontId="5" fillId="2" borderId="1" applyAlignment="1" pivotButton="0" quotePrefix="0" xfId="0">
      <alignment horizontal="center" vertical="center" wrapText="1"/>
    </xf>
    <xf numFmtId="0" fontId="7" fillId="3" borderId="0" pivotButton="0" quotePrefix="0" xfId="0"/>
    <xf numFmtId="0" fontId="6" fillId="0" borderId="2" applyAlignment="1" pivotButton="0" quotePrefix="0" xfId="0">
      <alignment horizontal="left" vertical="top" wrapText="1"/>
    </xf>
    <xf numFmtId="0" fontId="6" fillId="0" borderId="2" applyAlignment="1" pivotButton="0" quotePrefix="0" xfId="0">
      <alignment horizontal="center" vertical="center" wrapText="1"/>
    </xf>
    <xf numFmtId="0" fontId="6" fillId="0" borderId="5" applyAlignment="1" pivotButton="0" quotePrefix="0" xfId="0">
      <alignment horizontal="center" vertical="center" wrapText="1"/>
    </xf>
    <xf numFmtId="0" fontId="6" fillId="0" borderId="5" applyAlignment="1" pivotButton="0" quotePrefix="0" xfId="0">
      <alignment horizontal="left" vertical="top" wrapText="1"/>
    </xf>
    <xf numFmtId="0" fontId="5" fillId="2" borderId="6" applyAlignment="1" pivotButton="0" quotePrefix="0" xfId="0">
      <alignment horizontal="center" vertical="center" wrapText="1"/>
    </xf>
    <xf numFmtId="0" fontId="6" fillId="0" borderId="7" applyAlignment="1" pivotButton="0" quotePrefix="0" xfId="0">
      <alignment horizontal="center" vertical="center" wrapText="1"/>
    </xf>
    <xf numFmtId="0" fontId="6" fillId="0" borderId="7" applyAlignment="1" pivotButton="0" quotePrefix="0" xfId="0">
      <alignment horizontal="left" vertical="top" wrapText="1"/>
    </xf>
    <xf numFmtId="0" fontId="5" fillId="2" borderId="8" applyAlignment="1" pivotButton="0" quotePrefix="0" xfId="0">
      <alignment horizontal="center" vertical="center" wrapText="1"/>
    </xf>
    <xf numFmtId="0" fontId="5" fillId="2" borderId="9" applyAlignment="1" pivotButton="0" quotePrefix="0" xfId="0">
      <alignment horizontal="center" vertical="center" wrapText="1"/>
    </xf>
    <xf numFmtId="0" fontId="8" fillId="4" borderId="0" pivotButton="0" quotePrefix="0" xfId="0"/>
    <xf numFmtId="0" fontId="5" fillId="2" borderId="10" applyAlignment="1" pivotButton="0" quotePrefix="0" xfId="0">
      <alignment horizontal="center" vertical="center" wrapText="1"/>
    </xf>
    <xf numFmtId="0" fontId="6" fillId="0" borderId="11" applyAlignment="1" pivotButton="0" quotePrefix="0" xfId="0">
      <alignment horizontal="left" vertical="top" wrapText="1"/>
    </xf>
    <xf numFmtId="0" fontId="6" fillId="0" borderId="12" applyAlignment="1" pivotButton="0" quotePrefix="0" xfId="0">
      <alignment horizontal="left" vertical="top" wrapText="1"/>
    </xf>
    <xf numFmtId="0" fontId="0" fillId="0" borderId="0" applyAlignment="1" pivotButton="0" quotePrefix="0" xfId="0">
      <alignment horizontal="center"/>
    </xf>
    <xf numFmtId="0" fontId="5" fillId="2" borderId="9" applyAlignment="1" pivotButton="0" quotePrefix="0" xfId="0">
      <alignment horizontal="center" wrapText="1"/>
    </xf>
    <xf numFmtId="0" fontId="6" fillId="0" borderId="7" applyAlignment="1" pivotButton="0" quotePrefix="0" xfId="0">
      <alignment horizontal="center" wrapText="1"/>
    </xf>
    <xf numFmtId="0" fontId="6" fillId="0" borderId="3" applyAlignment="1" pivotButton="0" quotePrefix="0" xfId="0">
      <alignment horizontal="center" vertical="center" wrapText="1"/>
    </xf>
    <xf numFmtId="0" fontId="6" fillId="0" borderId="4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6" fillId="6" borderId="0" applyAlignment="1" pivotButton="0" quotePrefix="0" xfId="0">
      <alignment horizontal="center" vertical="center" wrapText="1"/>
    </xf>
    <xf numFmtId="0" fontId="0" fillId="5" borderId="0" pivotButton="0" quotePrefix="0" xfId="0"/>
    <xf numFmtId="0" fontId="0" fillId="5" borderId="0" applyAlignment="1" pivotButton="0" quotePrefix="0" xfId="0">
      <alignment horizontal="center" vertical="center"/>
    </xf>
    <xf numFmtId="0" fontId="6" fillId="6" borderId="13" applyAlignment="1" pivotButton="0" quotePrefix="0" xfId="0">
      <alignment horizontal="center" vertical="center" wrapText="1"/>
    </xf>
    <xf numFmtId="0" fontId="0" fillId="5" borderId="0" applyAlignment="1" pivotButton="0" quotePrefix="0" xfId="0">
      <alignment horizontal="center" vertical="center" wrapText="1"/>
    </xf>
    <xf numFmtId="0" fontId="7" fillId="4" borderId="0" pivotButton="0" quotePrefix="0" xfId="0"/>
    <xf numFmtId="0" fontId="0" fillId="5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3" fillId="5" borderId="0" applyAlignment="1" pivotButton="0" quotePrefix="0" xfId="0">
      <alignment horizontal="left" vertical="top" wrapText="1"/>
    </xf>
    <xf numFmtId="0" fontId="2" fillId="5" borderId="0" applyAlignment="1" pivotButton="0" quotePrefix="0" xfId="0">
      <alignment horizontal="left" vertical="top" wrapText="1"/>
    </xf>
    <xf numFmtId="0" fontId="2" fillId="5" borderId="0" applyAlignment="1" pivotButton="0" quotePrefix="0" xfId="0">
      <alignment vertical="top" wrapText="1"/>
    </xf>
    <xf numFmtId="22" fontId="0" fillId="5" borderId="0" applyAlignment="1" pivotButton="0" quotePrefix="0" xfId="0">
      <alignment horizontal="left"/>
    </xf>
    <xf numFmtId="0" fontId="5" fillId="2" borderId="16" applyAlignment="1" pivotButton="0" quotePrefix="0" xfId="0">
      <alignment horizontal="center" vertical="center" wrapText="1"/>
    </xf>
    <xf numFmtId="0" fontId="6" fillId="0" borderId="17" applyAlignment="1" pivotButton="0" quotePrefix="0" xfId="0">
      <alignment horizontal="center" vertical="center" wrapText="1"/>
    </xf>
    <xf numFmtId="0" fontId="5" fillId="8" borderId="16" applyAlignment="1" pivotButton="0" quotePrefix="0" xfId="0">
      <alignment horizontal="center" vertical="center" wrapText="1"/>
    </xf>
    <xf numFmtId="0" fontId="1" fillId="7" borderId="14" applyAlignment="1" pivotButton="0" quotePrefix="0" xfId="0">
      <alignment horizontal="center" vertical="center"/>
    </xf>
    <xf numFmtId="0" fontId="0" fillId="7" borderId="15" pivotButton="0" quotePrefix="0" xfId="0"/>
    <xf numFmtId="0" fontId="3" fillId="5" borderId="0" applyAlignment="1" pivotButton="0" quotePrefix="0" xfId="0">
      <alignment horizontal="left" vertical="top" wrapText="1"/>
    </xf>
    <xf numFmtId="0" fontId="0" fillId="0" borderId="0" pivotButton="0" quotePrefix="0" xfId="0"/>
    <xf numFmtId="0" fontId="2" fillId="5" borderId="0" pivotButton="0" quotePrefix="0" xfId="0"/>
    <xf numFmtId="0" fontId="4" fillId="0" borderId="0" applyAlignment="1" pivotButton="0" quotePrefix="0" xfId="0">
      <alignment horizontal="left" vertical="top" wrapText="1"/>
    </xf>
    <xf numFmtId="0" fontId="9" fillId="5" borderId="0" applyAlignment="1" pivotButton="0" quotePrefix="0" xfId="0">
      <alignment horizontal="center" vertical="top" wrapText="1"/>
    </xf>
    <xf numFmtId="0" fontId="1" fillId="5" borderId="0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 wrapText="1"/>
    </xf>
    <xf numFmtId="0" fontId="6" fillId="0" borderId="4" applyAlignment="1" pivotButton="0" quotePrefix="0" xfId="0">
      <alignment horizontal="center" vertical="center" wrapText="1"/>
    </xf>
    <xf numFmtId="0" fontId="0" fillId="0" borderId="15" pivotButton="0" quotePrefix="0" xfId="0"/>
  </cellXfs>
  <cellStyles count="1">
    <cellStyle name="Normal" xfId="0" builtinId="0"/>
  </cellStyles>
  <dxfs count="28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0"/>
        <vertAlign val="baseline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tables/table1.xml><?xml version="1.0" encoding="utf-8"?>
<table xmlns="http://schemas.openxmlformats.org/spreadsheetml/2006/main" id="1" name="Table1" displayName="Table1" ref="A1:P49" headerRowCount="1" totalsRowShown="0" headerRowDxfId="27" dataDxfId="26" tableBorderDxfId="25">
  <autoFilter ref="A1:P49"/>
  <tableColumns count="16">
    <tableColumn id="1" name="Block" dataDxfId="24"/>
    <tableColumn id="2" name="Control ID" dataDxfId="23"/>
    <tableColumn id="3" name="Control Name" dataDxfId="22"/>
    <tableColumn id="4" name="STATUS" dataDxfId="21"/>
    <tableColumn id="5" name="What" dataDxfId="20"/>
    <tableColumn id="6" name="Why" dataDxfId="19"/>
    <tableColumn id="7" name="How" dataDxfId="18"/>
    <tableColumn id="14" name="What We Saw" dataDxfId="17"/>
    <tableColumn id="13" name="Why It Matters" dataDxfId="16"/>
    <tableColumn id="15" name="What You Should Do" dataDxfId="15"/>
    <tableColumn id="8" name="Data Source" dataDxfId="14"/>
    <tableColumn id="9" name="Impact" dataDxfId="13"/>
    <tableColumn id="10" name="Importance" dataDxfId="12"/>
    <tableColumn id="11" name="Priority" dataDxfId="11"/>
    <tableColumn id="12" name="Notes/Intent" dataDxfId="10"/>
    <tableColumn id="16" name="Effort Tier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35"/>
  <sheetViews>
    <sheetView zoomScale="70" zoomScaleNormal="70" workbookViewId="0">
      <pane ySplit="8" topLeftCell="A9" activePane="bottomLeft" state="frozen"/>
      <selection pane="bottomLeft" activeCell="F16" sqref="F16"/>
    </sheetView>
  </sheetViews>
  <sheetFormatPr baseColWidth="8" defaultRowHeight="14.4"/>
  <cols>
    <col width="21.44140625" customWidth="1" style="41" min="1" max="1"/>
    <col width="27.5546875" customWidth="1" style="41" min="2" max="2"/>
    <col width="38.21875" customWidth="1" style="41" min="3" max="3"/>
    <col width="52" customWidth="1" style="30" min="4" max="4"/>
    <col width="50.21875" customWidth="1" style="30" min="5" max="6"/>
    <col width="36.21875" customWidth="1" style="41" min="7" max="7"/>
    <col width="26.77734375" bestFit="1" customWidth="1" style="41" min="8" max="8"/>
    <col width="21.5546875" bestFit="1" customWidth="1" style="41" min="9" max="9"/>
    <col width="26.21875" bestFit="1" customWidth="1" style="41" min="10" max="10"/>
    <col width="19.6640625" bestFit="1" customWidth="1" style="41" min="11" max="11"/>
    <col width="19.44140625" bestFit="1" customWidth="1" style="41" min="12" max="12"/>
    <col width="21.88671875" bestFit="1" customWidth="1" style="41" min="13" max="13"/>
    <col width="25" bestFit="1" customWidth="1" style="41" min="14" max="14"/>
    <col width="25.6640625" bestFit="1" customWidth="1" style="41" min="15" max="15"/>
    <col width="28.44140625" bestFit="1" customWidth="1" style="41" min="16" max="16"/>
    <col width="27.6640625" bestFit="1" customWidth="1" style="41" min="17" max="17"/>
    <col width="22.33203125" bestFit="1" customWidth="1" style="41" min="18" max="18"/>
    <col width="16.88671875" bestFit="1" customWidth="1" style="41" min="19" max="19"/>
    <col width="10.6640625" bestFit="1" customWidth="1" style="41" min="20" max="20"/>
    <col width="26.6640625" bestFit="1" customWidth="1" style="41" min="21" max="21"/>
    <col width="27.6640625" bestFit="1" customWidth="1" style="41" min="22" max="22"/>
    <col width="18.88671875" bestFit="1" customWidth="1" style="41" min="23" max="23"/>
    <col width="20" bestFit="1" customWidth="1" style="41" min="24" max="24"/>
    <col width="14.44140625" bestFit="1" customWidth="1" style="41" min="25" max="25"/>
    <col width="19.44140625" bestFit="1" customWidth="1" style="41" min="26" max="26"/>
    <col width="12.77734375" bestFit="1" customWidth="1" style="41" min="27" max="27"/>
    <col width="30.44140625" bestFit="1" customWidth="1" style="41" min="28" max="28"/>
    <col width="24.88671875" bestFit="1" customWidth="1" style="41" min="29" max="29"/>
    <col width="20.44140625" bestFit="1" customWidth="1" style="41" min="30" max="30"/>
    <col width="16.109375" bestFit="1" customWidth="1" style="41" min="31" max="31"/>
    <col width="21.5546875" bestFit="1" customWidth="1" style="41" min="32" max="32"/>
    <col width="25.77734375" bestFit="1" customWidth="1" style="41" min="33" max="33"/>
    <col width="16.88671875" bestFit="1" customWidth="1" style="41" min="34" max="34"/>
    <col width="24.109375" bestFit="1" customWidth="1" style="41" min="35" max="35"/>
    <col width="26" bestFit="1" customWidth="1" style="41" min="36" max="36"/>
    <col width="22.21875" bestFit="1" customWidth="1" style="41" min="37" max="37"/>
    <col width="28" bestFit="1" customWidth="1" style="41" min="38" max="38"/>
    <col width="22.21875" bestFit="1" customWidth="1" style="41" min="39" max="39"/>
    <col width="16.77734375" bestFit="1" customWidth="1" style="41" min="40" max="40"/>
    <col width="14.33203125" bestFit="1" customWidth="1" style="41" min="41" max="41"/>
    <col width="16.5546875" bestFit="1" customWidth="1" style="41" min="42" max="42"/>
    <col width="15.5546875" bestFit="1" customWidth="1" style="41" min="43" max="43"/>
    <col width="21.21875" bestFit="1" customWidth="1" style="41" min="44" max="44"/>
    <col width="19.33203125" bestFit="1" customWidth="1" style="41" min="45" max="45"/>
    <col width="20.21875" bestFit="1" customWidth="1" style="41" min="46" max="46"/>
    <col width="18.5546875" bestFit="1" customWidth="1" style="41" min="47" max="47"/>
    <col width="19.6640625" bestFit="1" customWidth="1" style="41" min="48" max="48"/>
    <col width="29.33203125" bestFit="1" customWidth="1" style="41" min="49" max="49"/>
    <col width="12.44140625" bestFit="1" customWidth="1" style="41" min="50" max="50"/>
    <col width="22.6640625" bestFit="1" customWidth="1" style="41" min="51" max="51"/>
    <col width="15.77734375" bestFit="1" customWidth="1" style="41" min="52" max="52"/>
    <col width="28.21875" bestFit="1" customWidth="1" style="41" min="53" max="53"/>
    <col width="21.5546875" bestFit="1" customWidth="1" style="41" min="54" max="54"/>
    <col width="26.33203125" bestFit="1" customWidth="1" style="41" min="55" max="55"/>
    <col width="19.5546875" bestFit="1" customWidth="1" style="41" min="56" max="56"/>
    <col width="11" bestFit="1" customWidth="1" style="41" min="57" max="57"/>
  </cols>
  <sheetData>
    <row r="1" ht="28.05" customHeight="1" s="41" thickBot="1">
      <c r="A1" s="38" t="inlineStr">
        <is>
          <t>53588A - US - ZooPro — Framework Analysis</t>
        </is>
      </c>
      <c r="B1" s="48" t="n"/>
      <c r="C1" s="48" t="n"/>
      <c r="D1" s="48" t="n"/>
      <c r="E1" s="48" t="n"/>
      <c r="F1" s="48" t="n"/>
      <c r="G1" s="48" t="n"/>
      <c r="H1" s="24" t="n"/>
    </row>
    <row r="2">
      <c r="A2" s="33" t="inlineStr">
        <is>
          <t xml:space="preserve">Framework Version &gt; </t>
        </is>
      </c>
      <c r="B2" s="24" t="inlineStr">
        <is>
          <t>v3.0</t>
        </is>
      </c>
      <c r="C2" s="24" t="n"/>
      <c r="D2" s="40" t="n"/>
      <c r="H2" s="24" t="n"/>
    </row>
    <row r="3">
      <c r="A3" s="32" t="inlineStr">
        <is>
          <t>Account &gt;</t>
        </is>
      </c>
      <c r="B3" t="inlineStr">
        <is>
          <t>Account: 9B2AD3 - US - Greestone - seller | Tenant ID: 69ece8e2-28ed-4919-a7a7-b81ede84d5d5 | Account ID: 1425191550341661</t>
        </is>
      </c>
      <c r="D3" s="40" t="n"/>
      <c r="H3" s="24" t="n"/>
    </row>
    <row r="4" ht="14.4" customHeight="1" s="41">
      <c r="A4" s="33" t="inlineStr">
        <is>
          <t xml:space="preserve">Evaluation Window &gt; </t>
        </is>
      </c>
      <c r="B4" s="24" t="inlineStr">
        <is>
          <t>2025-12-31 to 2026-01-30 (30 days)</t>
        </is>
      </c>
      <c r="C4" s="24" t="n"/>
      <c r="D4" s="40" t="n"/>
      <c r="H4" s="24" t="n"/>
    </row>
    <row r="5" ht="14.4" customHeight="1" s="41">
      <c r="A5" s="33" t="inlineStr">
        <is>
          <t xml:space="preserve">Download Date &gt; </t>
        </is>
      </c>
      <c r="B5" s="34" t="n">
        <v>46083.68488425926</v>
      </c>
      <c r="C5" s="24" t="n"/>
      <c r="D5" s="40" t="n"/>
      <c r="H5" s="24" t="n"/>
    </row>
    <row r="6">
      <c r="A6" s="24" t="n"/>
      <c r="B6" s="24" t="n"/>
      <c r="C6" s="24" t="n"/>
      <c r="D6" s="29" t="n"/>
      <c r="E6" s="29" t="n"/>
      <c r="F6" s="29" t="n"/>
      <c r="G6" s="24" t="n"/>
      <c r="H6" s="24" t="n"/>
    </row>
    <row r="7" ht="21" customHeight="1" s="41">
      <c r="A7" s="42" t="inlineStr">
        <is>
          <t>Framework Grade</t>
        </is>
      </c>
      <c r="D7" s="45">
        <f>'Logic and Calculation'!B5</f>
        <v/>
      </c>
      <c r="H7" s="24" t="n"/>
    </row>
    <row r="8" ht="18" customHeight="1" s="41">
      <c r="A8" s="42" t="inlineStr">
        <is>
          <t>Interpretation</t>
        </is>
      </c>
      <c r="D8" s="44">
        <f t="array" ref="D8">_xlfn.IFS(D7='Logic and Calculation'!L3,'Logic and Calculation'!M3,D7='Logic and Calculation'!L4,'Logic and Calculation'!M4,D7='Logic and Calculation'!L5,'Logic and Calculation'!M5)</f>
        <v/>
      </c>
      <c r="H8" s="24" t="n"/>
    </row>
    <row r="9" ht="18" customHeight="1" s="41">
      <c r="A9" s="24" t="n"/>
      <c r="B9" s="24" t="n"/>
      <c r="C9" s="24" t="n"/>
      <c r="D9" s="29" t="n"/>
      <c r="E9" s="29" t="n"/>
      <c r="F9" s="29" t="n"/>
      <c r="G9" s="24" t="n"/>
      <c r="H9" s="24" t="n"/>
    </row>
    <row r="10">
      <c r="A10" s="43" t="inlineStr">
        <is>
          <t>Key Findings (Prioritized) — include all FLAG / PARTIAL controls (no max items)</t>
        </is>
      </c>
    </row>
    <row r="11" ht="19.95" customHeight="1" s="41">
      <c r="A11" s="1" t="inlineStr">
        <is>
          <t>Control ID</t>
        </is>
      </c>
      <c r="B11" s="1" t="inlineStr">
        <is>
          <t>Control Name</t>
        </is>
      </c>
      <c r="C11" s="1" t="inlineStr">
        <is>
          <t>Status</t>
        </is>
      </c>
      <c r="D11" s="1" t="inlineStr">
        <is>
          <t>What We Saw</t>
        </is>
      </c>
      <c r="E11" s="1" t="inlineStr">
        <is>
          <t>Why It Matters</t>
        </is>
      </c>
      <c r="F11" s="1" t="inlineStr">
        <is>
          <t>What You Should Do</t>
        </is>
      </c>
      <c r="G11" s="1" t="inlineStr">
        <is>
          <t>Impact</t>
        </is>
      </c>
      <c r="H11" s="22" t="n"/>
    </row>
    <row r="12" ht="44.4" customHeight="1" s="41">
      <c r="A12" s="25">
        <f t="array" ref="A12">_xlfn.LET(
  _xlpm.id, Framework_Reference!B2:B49,
  _xlpm.name, Framework_Reference!C2:C49,
  _xlpm.st, Framework_Reference!D2:D49,
  _xlpm.saw, Framework_Reference!H2:H49,
  _xlpm.matter, Framework_Reference!I2:I49,
  _xlpm.wysd, Framework_Reference!J2:J49,
  _xlpm.impact, Framework_Reference!L2:L49,
  _xlpm.data, _xlfn.HSTACK(_xlpm.id, _xlpm.name, _xlpm.st, _xlpm.saw, _xlpm.matter, _xlpm.wysd, _xlpm.impact),
  _xlfn._xlws.FILTER(_xlpm.data, _xlpm.st&lt;&gt;"OK", "No findings — all controls OK")
)</f>
        <v/>
      </c>
      <c r="B12" s="25" t="n"/>
      <c r="C12" s="26" t="n"/>
      <c r="D12" s="27" t="n"/>
      <c r="E12" s="27" t="n"/>
      <c r="F12" s="27" t="n"/>
      <c r="G12" s="25" t="n"/>
      <c r="H12" s="24" t="n"/>
    </row>
    <row r="13" ht="44.4" customHeight="1" s="41">
      <c r="A13" s="25" t="n"/>
      <c r="B13" s="25" t="n"/>
      <c r="C13" s="23" t="n"/>
      <c r="D13" s="27" t="n"/>
      <c r="E13" s="27" t="n"/>
      <c r="F13" s="27" t="n"/>
      <c r="G13" s="25" t="n"/>
      <c r="H13" s="24" t="n"/>
    </row>
    <row r="14" ht="44.4" customHeight="1" s="41">
      <c r="A14" s="25" t="n"/>
      <c r="B14" s="25" t="n"/>
      <c r="C14" s="23" t="n"/>
      <c r="D14" s="27" t="n"/>
      <c r="E14" s="27" t="n"/>
      <c r="F14" s="27" t="n"/>
      <c r="G14" s="25" t="n"/>
      <c r="H14" s="24" t="n"/>
    </row>
    <row r="15" ht="44.4" customHeight="1" s="41">
      <c r="A15" s="25" t="n"/>
      <c r="B15" s="25" t="n"/>
      <c r="C15" s="23" t="n"/>
      <c r="D15" s="27" t="n"/>
      <c r="E15" s="27" t="n"/>
      <c r="F15" s="27" t="n"/>
      <c r="G15" s="25" t="n"/>
      <c r="H15" s="24" t="n"/>
    </row>
    <row r="16" ht="44.4" customHeight="1" s="41">
      <c r="A16" s="25" t="n"/>
      <c r="B16" s="25" t="n"/>
      <c r="C16" s="23" t="n"/>
      <c r="D16" s="27" t="n"/>
      <c r="E16" s="27" t="n"/>
      <c r="F16" s="27" t="n"/>
      <c r="G16" s="25" t="n"/>
      <c r="H16" s="24" t="n"/>
    </row>
    <row r="17" ht="44.4" customHeight="1" s="41">
      <c r="A17" s="25" t="n"/>
      <c r="B17" s="25" t="n"/>
      <c r="C17" s="23" t="n"/>
      <c r="D17" s="27" t="n"/>
      <c r="E17" s="27" t="n"/>
      <c r="F17" s="27" t="n"/>
      <c r="G17" s="25" t="n"/>
      <c r="H17" s="24" t="n"/>
    </row>
    <row r="18" ht="44.4" customHeight="1" s="41">
      <c r="A18" s="25" t="n"/>
      <c r="B18" s="25" t="n"/>
      <c r="C18" s="23" t="n"/>
      <c r="D18" s="27" t="n"/>
      <c r="E18" s="27" t="n"/>
      <c r="F18" s="27" t="n"/>
      <c r="G18" s="25" t="n"/>
      <c r="H18" s="24" t="n"/>
    </row>
    <row r="19" ht="44.4" customHeight="1" s="41">
      <c r="A19" s="25" t="n"/>
      <c r="B19" s="25" t="n"/>
      <c r="C19" s="23" t="n"/>
      <c r="D19" s="27" t="n"/>
      <c r="E19" s="27" t="n"/>
      <c r="F19" s="27" t="n"/>
      <c r="G19" s="25" t="n"/>
      <c r="H19" s="24" t="n"/>
    </row>
    <row r="20" ht="44.4" customHeight="1" s="41">
      <c r="A20" s="25" t="n"/>
      <c r="B20" s="25" t="n"/>
      <c r="C20" s="23" t="n"/>
      <c r="D20" s="27" t="n"/>
      <c r="E20" s="27" t="n"/>
      <c r="F20" s="27" t="n"/>
      <c r="G20" s="25" t="n"/>
      <c r="H20" s="24" t="n"/>
    </row>
    <row r="21" ht="44.4" customHeight="1" s="41">
      <c r="A21" s="25" t="n"/>
      <c r="B21" s="25" t="n"/>
      <c r="C21" s="23" t="n"/>
      <c r="D21" s="27" t="n"/>
      <c r="E21" s="27" t="n"/>
      <c r="F21" s="27" t="n"/>
      <c r="G21" s="25" t="n"/>
      <c r="H21" s="24" t="n"/>
    </row>
    <row r="22" ht="44.4" customHeight="1" s="41">
      <c r="A22" s="25" t="n"/>
      <c r="B22" s="25" t="n"/>
      <c r="C22" s="23" t="n"/>
      <c r="D22" s="27" t="n"/>
      <c r="E22" s="27" t="n"/>
      <c r="F22" s="27" t="n"/>
      <c r="G22" s="25" t="n"/>
      <c r="H22" s="24" t="n"/>
    </row>
    <row r="23" ht="44.4" customHeight="1" s="41">
      <c r="A23" s="25" t="n"/>
      <c r="B23" s="25" t="n"/>
      <c r="C23" s="23" t="n"/>
      <c r="D23" s="27" t="n"/>
      <c r="E23" s="27" t="n"/>
      <c r="F23" s="27" t="n"/>
      <c r="G23" s="25" t="n"/>
      <c r="H23" s="24" t="n"/>
    </row>
    <row r="24" ht="44.4" customHeight="1" s="41">
      <c r="A24" s="25" t="n"/>
      <c r="B24" s="25" t="n"/>
      <c r="C24" s="23" t="n"/>
      <c r="D24" s="27" t="n"/>
      <c r="E24" s="27" t="n"/>
      <c r="F24" s="27" t="n"/>
      <c r="G24" s="25" t="n"/>
      <c r="H24" s="24" t="n"/>
    </row>
    <row r="25" ht="44.4" customHeight="1" s="41">
      <c r="A25" s="25" t="n"/>
      <c r="B25" s="25" t="n"/>
      <c r="C25" s="23" t="n"/>
      <c r="D25" s="27" t="n"/>
      <c r="E25" s="27" t="n"/>
      <c r="F25" s="27" t="n"/>
      <c r="G25" s="25" t="n"/>
      <c r="H25" s="24" t="n"/>
    </row>
    <row r="26" ht="44.4" customHeight="1" s="41">
      <c r="A26" s="24" t="n"/>
      <c r="B26" s="24" t="n"/>
      <c r="C26" s="23" t="n"/>
      <c r="D26" s="29" t="n"/>
      <c r="E26" s="29" t="n"/>
      <c r="F26" s="29" t="n"/>
      <c r="G26" s="24" t="n"/>
      <c r="H26" s="24" t="n"/>
    </row>
    <row r="27" ht="44.4" customHeight="1" s="41">
      <c r="A27" s="24" t="n"/>
      <c r="B27" s="24" t="n"/>
      <c r="C27" s="23" t="n"/>
      <c r="D27" s="29" t="n"/>
      <c r="E27" s="29" t="n"/>
      <c r="F27" s="29" t="n"/>
      <c r="G27" s="24" t="n"/>
      <c r="H27" s="24" t="n"/>
    </row>
    <row r="28" ht="44.4" customHeight="1" s="41">
      <c r="A28" s="24" t="n"/>
      <c r="B28" s="24" t="n"/>
      <c r="C28" s="23" t="n"/>
      <c r="D28" s="29" t="n"/>
      <c r="E28" s="29" t="n"/>
      <c r="F28" s="29" t="n"/>
      <c r="G28" s="24" t="n"/>
      <c r="H28" s="24" t="n"/>
    </row>
    <row r="29" ht="44.4" customHeight="1" s="41">
      <c r="A29" s="24" t="n"/>
      <c r="B29" s="24" t="n"/>
      <c r="C29" s="23" t="n"/>
      <c r="D29" s="29" t="n"/>
      <c r="E29" s="29" t="n"/>
      <c r="F29" s="29" t="n"/>
      <c r="G29" s="24" t="n"/>
      <c r="H29" s="24" t="n"/>
    </row>
    <row r="30" ht="44.4" customHeight="1" s="41">
      <c r="A30" s="24" t="n"/>
      <c r="B30" s="24" t="n"/>
      <c r="C30" s="23" t="n"/>
      <c r="D30" s="29" t="n"/>
      <c r="E30" s="29" t="n"/>
      <c r="F30" s="29" t="n"/>
      <c r="G30" s="24" t="n"/>
      <c r="H30" s="24" t="n"/>
    </row>
    <row r="31" ht="44.4" customHeight="1" s="41">
      <c r="C31" s="23" t="n"/>
    </row>
    <row r="32" ht="44.4" customHeight="1" s="41">
      <c r="C32" s="23" t="n"/>
    </row>
    <row r="33" ht="44.4" customHeight="1" s="41">
      <c r="C33" s="23" t="n"/>
    </row>
    <row r="34" ht="44.4" customHeight="1" s="41">
      <c r="C34" s="23" t="n"/>
    </row>
    <row r="35" ht="44.4" customHeight="1" s="41">
      <c r="C35" s="23" t="n"/>
    </row>
  </sheetData>
  <mergeCells count="8">
    <mergeCell ref="A1:G1"/>
    <mergeCell ref="D8:G8"/>
    <mergeCell ref="A8:C8"/>
    <mergeCell ref="D7:G7"/>
    <mergeCell ref="A7:C7"/>
    <mergeCell ref="D2:G2"/>
    <mergeCell ref="A10:G10"/>
    <mergeCell ref="D4:G4"/>
  </mergeCells>
  <conditionalFormatting sqref="C12:C35">
    <cfRule type="cellIs" priority="4" operator="equal" dxfId="2" stopIfTrue="1">
      <formula>"OK"</formula>
    </cfRule>
    <cfRule type="cellIs" priority="5" operator="equal" dxfId="1" stopIfTrue="1">
      <formula>"PARTIAL"</formula>
    </cfRule>
    <cfRule type="cellIs" priority="6" operator="equal" dxfId="0" stopIfTrue="1">
      <formula>"FLAG"</formula>
    </cfRule>
  </conditionalFormatting>
  <conditionalFormatting sqref="D7:G7">
    <cfRule type="containsText" priority="1" operator="containsText" dxfId="5" text="Is Compliant">
      <formula>NOT(ISERROR(SEARCH("Is Compliant",D7)))</formula>
    </cfRule>
    <cfRule type="containsText" priority="2" operator="containsText" dxfId="4" text="Need Improvement">
      <formula>NOT(ISERROR(SEARCH("Need Improvement",D7)))</formula>
    </cfRule>
    <cfRule type="containsText" priority="3" operator="containsText" dxfId="3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P49"/>
  <sheetViews>
    <sheetView tabSelected="1" zoomScale="70" zoomScaleNormal="70" workbookViewId="0">
      <pane ySplit="1" topLeftCell="A30" activePane="bottomLeft" state="frozen"/>
      <selection pane="bottomLeft" activeCell="G43" sqref="G43"/>
    </sheetView>
  </sheetViews>
  <sheetFormatPr baseColWidth="8" defaultRowHeight="14.4"/>
  <cols>
    <col width="22" customWidth="1" style="21" min="1" max="1"/>
    <col width="10.5546875" customWidth="1" style="21" min="2" max="2"/>
    <col width="30" customWidth="1" style="21" min="3" max="3"/>
    <col width="8.44140625" customWidth="1" style="16" min="4" max="4"/>
    <col width="38" customWidth="1" style="41" min="5" max="6"/>
    <col width="30" customWidth="1" style="41" min="7" max="7"/>
    <col width="47.88671875" customWidth="1" style="41" min="8" max="10"/>
    <col width="26.77734375" customWidth="1" style="41" min="11" max="11"/>
    <col width="10" customWidth="1" style="41" min="12" max="12"/>
    <col width="11.6640625" customWidth="1" style="41" min="13" max="13"/>
    <col width="22" customWidth="1" style="41" min="14" max="14"/>
    <col width="39.44140625" customWidth="1" style="41" min="15" max="15"/>
  </cols>
  <sheetData>
    <row r="1" ht="28.2" customHeight="1" s="41" thickBot="1">
      <c r="A1" s="7" t="inlineStr">
        <is>
          <t>Block</t>
        </is>
      </c>
      <c r="B1" s="10" t="inlineStr">
        <is>
          <t>Control ID</t>
        </is>
      </c>
      <c r="C1" s="11" t="inlineStr">
        <is>
          <t>Control Name</t>
        </is>
      </c>
      <c r="D1" s="17" t="inlineStr">
        <is>
          <t>STATUS</t>
        </is>
      </c>
      <c r="E1" s="11" t="inlineStr">
        <is>
          <t>What</t>
        </is>
      </c>
      <c r="F1" s="11" t="inlineStr">
        <is>
          <t>Why</t>
        </is>
      </c>
      <c r="G1" s="11" t="inlineStr">
        <is>
          <t>How</t>
        </is>
      </c>
      <c r="H1" s="1" t="inlineStr">
        <is>
          <t>What We Saw</t>
        </is>
      </c>
      <c r="I1" s="1" t="inlineStr">
        <is>
          <t>Why It Matters</t>
        </is>
      </c>
      <c r="J1" s="35" t="inlineStr">
        <is>
          <t>What You Should Do</t>
        </is>
      </c>
      <c r="K1" s="11" t="inlineStr">
        <is>
          <t>Data Source</t>
        </is>
      </c>
      <c r="L1" s="11" t="inlineStr">
        <is>
          <t>Impact</t>
        </is>
      </c>
      <c r="M1" s="11" t="inlineStr">
        <is>
          <t>Importance</t>
        </is>
      </c>
      <c r="N1" s="11" t="inlineStr">
        <is>
          <t>Priority</t>
        </is>
      </c>
      <c r="O1" s="13" t="inlineStr">
        <is>
          <t>Notes/Intent</t>
        </is>
      </c>
      <c r="P1" s="37" t="inlineStr">
        <is>
          <t>Effort Tier</t>
        </is>
      </c>
    </row>
    <row r="2" ht="36" customHeight="1" s="41">
      <c r="A2" s="19" t="inlineStr">
        <is>
          <t>Account Governance</t>
        </is>
      </c>
      <c r="B2" s="8" t="inlineStr">
        <is>
          <t>C001</t>
        </is>
      </c>
      <c r="C2" s="8" t="inlineStr">
        <is>
          <t>ACoS Change Spacing</t>
        </is>
      </c>
      <c r="D2" s="18" t="inlineStr">
        <is>
          <t>OK</t>
        </is>
      </c>
      <c r="E2" s="9" t="inlineStr">
        <is>
          <t>Check if ACoS target changes are spaced ≥14 days apart.</t>
        </is>
      </c>
      <c r="F2" s="9" t="inlineStr">
        <is>
          <t>Frequent changes disrupt learning and bid stabilization.</t>
        </is>
      </c>
      <c r="G2" s="9" t="inlineStr">
        <is>
          <t>FLAG if any consecutive changes &lt;14 days (only evaluate within last 6 months).</t>
        </is>
      </c>
      <c r="H2" s="9" t="inlineStr">
        <is>
          <t>Observed: {min_days_between_changes} days between ACoS target changes (last 6 months). Rule: ≥14 days. Result: {PASS/FLAG}.</t>
        </is>
      </c>
      <c r="I2" s="9" t="inlineStr">
        <is>
          <t>Frequent target changes disrupt learning cycles and prevent bid stabilization, increasing volatility and slowing optimization.</t>
        </is>
      </c>
      <c r="J2" s="9" t="inlineStr">
        <is>
          <t>Stop changing the ACoS so much</t>
        </is>
      </c>
      <c r="K2" s="9" t="inlineStr">
        <is>
          <t>24_Account_ACoS_Changes_History</t>
        </is>
      </c>
      <c r="L2" s="46">
        <f>VLOOKUP(Table1[[#This Row],[Importance]],'Logic and Calculation'!$H$3:$J$12,3,FALSE)</f>
        <v/>
      </c>
      <c r="M2" s="8" t="n">
        <v>5</v>
      </c>
      <c r="N2" s="46">
        <f>VLOOKUP(Table1[[#This Row],[Importance]],'Logic and Calculation'!$H$3:$J$12,2,FALSE)</f>
        <v/>
      </c>
      <c r="O2" s="14" t="n"/>
      <c r="P2" s="8" t="n"/>
    </row>
    <row r="3" ht="36" customHeight="1" s="41">
      <c r="A3" s="47" t="inlineStr">
        <is>
          <t>Account Governance</t>
        </is>
      </c>
      <c r="B3" s="46" t="inlineStr">
        <is>
          <t>C002</t>
        </is>
      </c>
      <c r="C3" s="46" t="inlineStr">
        <is>
          <t>ACoS Change Volume</t>
        </is>
      </c>
      <c r="D3" s="18" t="inlineStr">
        <is>
          <t>OK</t>
        </is>
      </c>
      <c r="E3" s="3" t="inlineStr">
        <is>
          <t>Check if too many ACoS target changes occurred in last 90 days.</t>
        </is>
      </c>
      <c r="F3" s="3" t="inlineStr">
        <is>
          <t>Excessive changes prevent system adaptation.</t>
        </is>
      </c>
      <c r="G3" s="3" t="inlineStr">
        <is>
          <t>FLAG if &gt;5 changes in last 90 days (only evaluate within last 6 months).</t>
        </is>
      </c>
      <c r="H3" s="3" t="inlineStr">
        <is>
          <t>Observed: {num_changes_90d} ACoS target changes in last 90 days (within last 6 months). Rule: ≤5. Result: {PASS/FLAG}.</t>
        </is>
      </c>
      <c r="I3" s="3" t="inlineStr">
        <is>
          <t>Excessive governance changes prevent the system from adapting, causing inconsistent optimization and unstable efficiency.</t>
        </is>
      </c>
      <c r="J3" s="9" t="inlineStr">
        <is>
          <t>Stop changing the ACoS so much</t>
        </is>
      </c>
      <c r="K3" s="3" t="inlineStr">
        <is>
          <t>24_Account_ACoS_Changes_History</t>
        </is>
      </c>
      <c r="L3" s="46">
        <f>VLOOKUP(Table1[[#This Row],[Importance]],'Logic and Calculation'!$H$3:$J$12,3,FALSE)</f>
        <v/>
      </c>
      <c r="M3" s="46" t="n">
        <v>5</v>
      </c>
      <c r="N3" s="46">
        <f>VLOOKUP(Table1[[#This Row],[Importance]],'Logic and Calculation'!$H$3:$J$12,2,FALSE)</f>
        <v/>
      </c>
      <c r="O3" s="15" t="n"/>
      <c r="P3" s="46" t="n"/>
    </row>
    <row r="4" ht="36" customHeight="1" s="41">
      <c r="A4" s="47" t="inlineStr">
        <is>
          <t>Account Governance</t>
        </is>
      </c>
      <c r="B4" s="46" t="inlineStr">
        <is>
          <t>C003</t>
        </is>
      </c>
      <c r="C4" s="46" t="inlineStr">
        <is>
          <t>ACoS Change Magnitude</t>
        </is>
      </c>
      <c r="D4" s="18" t="inlineStr">
        <is>
          <t>OK</t>
        </is>
      </c>
      <c r="E4" s="3" t="inlineStr">
        <is>
          <t>Check if ACoS change magnitude is within thresholds.</t>
        </is>
      </c>
      <c r="F4" s="3" t="inlineStr">
        <is>
          <t>Too small changes don’t move system; too large changes create risk.</t>
        </is>
      </c>
      <c r="G4" s="3" t="inlineStr">
        <is>
          <t>FLAG if iACoS_Percent outside 5%–25% (best 10%–15%); only within last 6 months.</t>
        </is>
      </c>
      <c r="H4" s="3" t="inlineStr">
        <is>
          <t>Observed: iACoS_Percent change = {pct_change} (last 6 months). Rule: 5%–25% (best 10%–15%). Result: {PASS/FLAG}.</t>
        </is>
      </c>
      <c r="I4" s="3" t="inlineStr">
        <is>
          <t>Changes that are too small don’t shift outcomes; changes too large can create overspend or under-delivery, increasing efficiency risk.</t>
        </is>
      </c>
      <c r="J4" s="3" t="inlineStr">
        <is>
          <t xml:space="preserve">Be mindfull on the % changes of your ACoS </t>
        </is>
      </c>
      <c r="K4" s="3" t="inlineStr">
        <is>
          <t>24_Account_ACoS_Changes_History</t>
        </is>
      </c>
      <c r="L4" s="46">
        <f>VLOOKUP(Table1[[#This Row],[Importance]],'Logic and Calculation'!$H$3:$J$12,3,FALSE)</f>
        <v/>
      </c>
      <c r="M4" s="46" t="n">
        <v>5</v>
      </c>
      <c r="N4" s="46">
        <f>VLOOKUP(Table1[[#This Row],[Importance]],'Logic and Calculation'!$H$3:$J$12,2,FALSE)</f>
        <v/>
      </c>
      <c r="O4" s="15" t="n"/>
      <c r="P4" s="46" t="n"/>
    </row>
    <row r="5" ht="48" customHeight="1" s="41">
      <c r="A5" s="47" t="inlineStr">
        <is>
          <t>Account Governance</t>
        </is>
      </c>
      <c r="B5" s="46" t="inlineStr">
        <is>
          <t>C004</t>
        </is>
      </c>
      <c r="C5" s="46" t="inlineStr">
        <is>
          <t>Quartile Factor Override</t>
        </is>
      </c>
      <c r="D5" s="18" t="inlineStr">
        <is>
          <t>OK</t>
        </is>
      </c>
      <c r="E5" s="3" t="inlineStr">
        <is>
          <t>Check Quartile Factor != 1.</t>
        </is>
      </c>
      <c r="F5" s="3" t="inlineStr">
        <is>
          <t>Non-default factor indicates non-standard thresholding.</t>
        </is>
      </c>
      <c r="G5" s="3" t="inlineStr">
        <is>
          <t>FLAG if Quartile Factor ≠ 1.</t>
        </is>
      </c>
      <c r="H5" s="3" t="inlineStr">
        <is>
          <t>Observed: Quartile Factor = {value}. Rule: must equal 1. Result: {OK/PARTIAL/FLAG}.</t>
        </is>
      </c>
      <c r="I5" s="3" t="inlineStr">
        <is>
          <t>Non-default quartile factor changes the system’s thresholding behavior, increasing risk of unpredictable automation decisions.</t>
        </is>
      </c>
      <c r="J5" s="3" t="inlineStr">
        <is>
          <t>Disable Quartile Factor</t>
        </is>
      </c>
      <c r="K5" s="3" t="inlineStr">
        <is>
          <t>Portal parameter history (tab varies)</t>
        </is>
      </c>
      <c r="L5" s="46">
        <f>VLOOKUP(Table1[[#This Row],[Importance]],'Logic and Calculation'!$H$3:$J$12,3,FALSE)</f>
        <v/>
      </c>
      <c r="M5" s="46" t="n">
        <v>10</v>
      </c>
      <c r="N5" s="46">
        <f>VLOOKUP(Table1[[#This Row],[Importance]],'Logic and Calculation'!$H$3:$J$12,2,FALSE)</f>
        <v/>
      </c>
      <c r="O5" s="15" t="n"/>
      <c r="P5" s="46" t="n"/>
    </row>
    <row r="6" ht="36" customHeight="1" s="41">
      <c r="A6" s="47" t="inlineStr">
        <is>
          <t>Account Governance</t>
        </is>
      </c>
      <c r="B6" s="46" t="inlineStr">
        <is>
          <t>C005</t>
        </is>
      </c>
      <c r="C6" s="46" t="inlineStr">
        <is>
          <t>Account VAM Baseline</t>
        </is>
      </c>
      <c r="D6" s="18" t="inlineStr">
        <is>
          <t>OK</t>
        </is>
      </c>
      <c r="E6" s="3" t="inlineStr">
        <is>
          <t>Check CurrentEpisolon != 1.</t>
        </is>
      </c>
      <c r="F6" s="3" t="inlineStr">
        <is>
          <t>Non-default epsilon indicates VAM baseline active.</t>
        </is>
      </c>
      <c r="G6" s="3" t="inlineStr">
        <is>
          <t>FLAG if CurrentEpisolon ≠ 1.</t>
        </is>
      </c>
      <c r="H6" s="3" t="inlineStr">
        <is>
          <t>Observed: CurrentEpisolon = {value}. Rule: must equal 1. Result: {PASS/FLAG}.</t>
        </is>
      </c>
      <c r="I6" s="3" t="inlineStr">
        <is>
          <t>A non-default VAM baseline overrides default governance and can materially shift bidding behavior across the account.</t>
        </is>
      </c>
      <c r="J6" s="3" t="inlineStr">
        <is>
          <t xml:space="preserve">Disable VAM Baseline </t>
        </is>
      </c>
      <c r="K6" s="3" t="inlineStr">
        <is>
          <t>16_Portal_Account_Settings</t>
        </is>
      </c>
      <c r="L6" s="46">
        <f>VLOOKUP(Table1[[#This Row],[Importance]],'Logic and Calculation'!$H$3:$J$12,3,FALSE)</f>
        <v/>
      </c>
      <c r="M6" s="46" t="n">
        <v>10</v>
      </c>
      <c r="N6" s="46">
        <f>VLOOKUP(Table1[[#This Row],[Importance]],'Logic and Calculation'!$H$3:$J$12,2,FALSE)</f>
        <v/>
      </c>
      <c r="O6" s="15" t="n"/>
      <c r="P6" s="46" t="n"/>
    </row>
    <row r="7" ht="48" customHeight="1" s="41">
      <c r="A7" s="47" t="inlineStr">
        <is>
          <t>Account Governance</t>
        </is>
      </c>
      <c r="B7" s="46" t="inlineStr">
        <is>
          <t>C006</t>
        </is>
      </c>
      <c r="C7" s="46" t="inlineStr">
        <is>
          <t>Product ACoS Customization</t>
        </is>
      </c>
      <c r="D7" s="18" t="inlineStr">
        <is>
          <t>OK</t>
        </is>
      </c>
      <c r="E7" s="3" t="inlineStr">
        <is>
          <t>Detect product-level iACoS customizations.</t>
        </is>
      </c>
      <c r="F7" s="3" t="inlineStr">
        <is>
          <t>Product-level targets override account governance.</t>
        </is>
      </c>
      <c r="G7" s="3" t="inlineStr">
        <is>
          <t>OK if no data; FLAG if any product iACoS present.</t>
        </is>
      </c>
      <c r="H7" s="3" t="inlineStr">
        <is>
          <t>Observed: {num_products_with_iACoS} products with product-level iACoS set (last 6 months). Rule: none expected. Result: {OK/FLAG}.</t>
        </is>
      </c>
      <c r="I7" s="3" t="inlineStr">
        <is>
          <t>Product-level targets override account governance, creating fragmented optimization rules and inconsistent performance control.</t>
        </is>
      </c>
      <c r="J7" s="3" t="inlineStr">
        <is>
          <t xml:space="preserve">Revisit the need for the Product ACoS Customizations </t>
        </is>
      </c>
      <c r="K7" s="3" t="inlineStr">
        <is>
          <t>10_Performance_by_Child_ASIN (iACoS)</t>
        </is>
      </c>
      <c r="L7" s="46">
        <f>VLOOKUP(Table1[[#This Row],[Importance]],'Logic and Calculation'!$H$3:$J$12,3,FALSE)</f>
        <v/>
      </c>
      <c r="M7" s="46" t="n">
        <v>7</v>
      </c>
      <c r="N7" s="46">
        <f>VLOOKUP(Table1[[#This Row],[Importance]],'Logic and Calculation'!$H$3:$J$12,2,FALSE)</f>
        <v/>
      </c>
      <c r="O7" s="15" t="n"/>
      <c r="P7" s="46" t="n"/>
    </row>
    <row r="8" ht="36" customHeight="1" s="41">
      <c r="A8" s="47" t="inlineStr">
        <is>
          <t>Account Governance</t>
        </is>
      </c>
      <c r="B8" s="46" t="inlineStr">
        <is>
          <t>C007</t>
        </is>
      </c>
      <c r="C8" s="46" t="inlineStr">
        <is>
          <t>Campaign ACoS Customization</t>
        </is>
      </c>
      <c r="D8" s="18" t="inlineStr">
        <is>
          <t>OK</t>
        </is>
      </c>
      <c r="E8" s="3" t="inlineStr">
        <is>
          <t>Detect campaign-level ACoS customizations.</t>
        </is>
      </c>
      <c r="F8" s="3" t="inlineStr">
        <is>
          <t>Campaign overrides create inconsistent governance.</t>
        </is>
      </c>
      <c r="G8" s="3" t="inlineStr">
        <is>
          <t>OK if no data; FLAG if any campaign customization present.</t>
        </is>
      </c>
      <c r="H8" s="3" t="inlineStr">
        <is>
          <t>Observed: {num_campaigns_customized} campaigns with custom ACoS targets (last 6 months). Rule: none expected. Result: {OK/FLAG}.</t>
        </is>
      </c>
      <c r="I8" s="3" t="inlineStr">
        <is>
          <t>Campaign overrides fragment governance and increase variance across the portfolio, reducing system consistency.</t>
        </is>
      </c>
      <c r="J8" s="3" t="inlineStr">
        <is>
          <t xml:space="preserve">Revisit the need for the Campaign ACoS Customizations </t>
        </is>
      </c>
      <c r="K8" s="3" t="inlineStr">
        <is>
          <t>Campaign ACoS history tab (TBD)</t>
        </is>
      </c>
      <c r="L8" s="46">
        <f>VLOOKUP(Table1[[#This Row],[Importance]],'Logic and Calculation'!$H$3:$J$12,3,FALSE)</f>
        <v/>
      </c>
      <c r="M8" s="46" t="n">
        <v>7</v>
      </c>
      <c r="N8" s="46">
        <f>VLOOKUP(Table1[[#This Row],[Importance]],'Logic and Calculation'!$H$3:$J$12,2,FALSE)</f>
        <v/>
      </c>
      <c r="O8" s="15" t="n"/>
      <c r="P8" s="46" t="n"/>
    </row>
    <row r="9" ht="24" customHeight="1" s="41">
      <c r="A9" s="47" t="inlineStr">
        <is>
          <t>Account Governance</t>
        </is>
      </c>
      <c r="B9" s="46" t="inlineStr">
        <is>
          <t>C008</t>
        </is>
      </c>
      <c r="C9" s="46" t="inlineStr">
        <is>
          <t>Timeframe Boost</t>
        </is>
      </c>
      <c r="D9" s="18" t="inlineStr">
        <is>
          <t>OK</t>
        </is>
      </c>
      <c r="E9" s="3" t="inlineStr">
        <is>
          <t>Check for timeframe boost records.</t>
        </is>
      </c>
      <c r="F9" s="3" t="inlineStr">
        <is>
          <t>Boost distorts placement bidding and learning.</t>
        </is>
      </c>
      <c r="G9" s="3" t="inlineStr">
        <is>
          <t>OK if no data; FLAG if timeframe boost exists.</t>
        </is>
      </c>
      <c r="H9" s="3" t="inlineStr">
        <is>
          <t>Observed: {num_boost_records} timeframe boost records active (last 6 months). Rule: none expected. Result: {OK/FLAG}.</t>
        </is>
      </c>
      <c r="I9" s="3" t="inlineStr">
        <is>
          <t>Boosts distort placement/bid learning and can inflate spend in ways that aren’t aligned to steady-state optimization.</t>
        </is>
      </c>
      <c r="J9" s="3" t="n"/>
      <c r="K9" s="3" t="inlineStr">
        <is>
          <t>27_Timeframe_Boost</t>
        </is>
      </c>
      <c r="L9" s="46">
        <f>VLOOKUP(Table1[[#This Row],[Importance]],'Logic and Calculation'!$H$3:$J$12,3,FALSE)</f>
        <v/>
      </c>
      <c r="M9" s="46" t="n">
        <v>7</v>
      </c>
      <c r="N9" s="46">
        <f>VLOOKUP(Table1[[#This Row],[Importance]],'Logic and Calculation'!$H$3:$J$12,2,FALSE)</f>
        <v/>
      </c>
      <c r="O9" s="15" t="n"/>
      <c r="P9" s="46" t="n"/>
    </row>
    <row r="10" ht="60" customHeight="1" s="41">
      <c r="A10" s="47" t="inlineStr">
        <is>
          <t>Account Governance</t>
        </is>
      </c>
      <c r="B10" s="46" t="inlineStr">
        <is>
          <t>C009</t>
        </is>
      </c>
      <c r="C10" s="46" t="inlineStr">
        <is>
          <t>Account Negatives</t>
        </is>
      </c>
      <c r="D10" s="18" t="inlineStr">
        <is>
          <t>OK</t>
        </is>
      </c>
      <c r="E10" s="3" t="inlineStr">
        <is>
          <t>Detect manual negative keywords at account level.</t>
        </is>
      </c>
      <c r="F10" s="3" t="inlineStr">
        <is>
          <t>Manual negatives bypass system optimization.</t>
        </is>
      </c>
      <c r="G10" s="3" t="inlineStr">
        <is>
          <t>FLAG if non-holiday/deal negatives exist at account level.</t>
        </is>
      </c>
      <c r="H10" s="3" t="inlineStr">
        <is>
          <t>Observed: {num_global_negatives} account-level negative keywords (excluding holiday/deal lists). Result: {OK/FLAG}.</t>
        </is>
      </c>
      <c r="I10" s="3" t="inlineStr">
        <is>
          <t>Manual negatives bypass system exploration and can suppress demand capture, reducing the system’s ability to optimize.</t>
        </is>
      </c>
      <c r="J10" s="3" t="inlineStr">
        <is>
          <t xml:space="preserve">Remove Negative targets that are not related to Events and Promotions </t>
        </is>
      </c>
      <c r="K10" s="3" t="inlineStr">
        <is>
          <t>29_Negative_Keywords__Global (Product blank)</t>
        </is>
      </c>
      <c r="L10" s="46">
        <f>VLOOKUP(Table1[[#This Row],[Importance]],'Logic and Calculation'!$H$3:$J$12,3,FALSE)</f>
        <v/>
      </c>
      <c r="M10" s="46" t="n">
        <v>6</v>
      </c>
      <c r="N10" s="46">
        <f>VLOOKUP(Table1[[#This Row],[Importance]],'Logic and Calculation'!$H$3:$J$12,2,FALSE)</f>
        <v/>
      </c>
      <c r="O10" s="15" t="n"/>
      <c r="P10" s="46" t="n"/>
    </row>
    <row r="11" ht="60" customHeight="1" s="41">
      <c r="A11" s="47" t="inlineStr">
        <is>
          <t>Account Governance</t>
        </is>
      </c>
      <c r="B11" s="46" t="inlineStr">
        <is>
          <t>C010</t>
        </is>
      </c>
      <c r="C11" s="46" t="inlineStr">
        <is>
          <t>Product Negatives</t>
        </is>
      </c>
      <c r="D11" s="18" t="inlineStr">
        <is>
          <t>OK</t>
        </is>
      </c>
      <c r="E11" s="3" t="inlineStr">
        <is>
          <t>Detect manual negative keywords at product level.</t>
        </is>
      </c>
      <c r="F11" s="3" t="inlineStr">
        <is>
          <t>Manual negatives can harm discoverability.</t>
        </is>
      </c>
      <c r="G11" s="3" t="inlineStr">
        <is>
          <t>FLAG if non-holiday/deal negatives exist at product level.</t>
        </is>
      </c>
      <c r="H11" s="3" t="inlineStr">
        <is>
          <t>Observed: {num_product_negatives} product-level negative keywords (excluding holiday/deal lists). Result: {OK/FLAG}.</t>
        </is>
      </c>
      <c r="I11" s="3" t="inlineStr">
        <is>
          <t>Product-level negatives can block discoverability for ASINs and create hidden performance constraints that are hard to diagnose.</t>
        </is>
      </c>
      <c r="J11" s="3" t="inlineStr">
        <is>
          <t xml:space="preserve">Remove Negative targets that are not related to Events and Promotions </t>
        </is>
      </c>
      <c r="K11" s="3" t="inlineStr">
        <is>
          <t>29_Negative_Keywords__Global (Product populated)</t>
        </is>
      </c>
      <c r="L11" s="46">
        <f>VLOOKUP(Table1[[#This Row],[Importance]],'Logic and Calculation'!$H$3:$J$12,3,FALSE)</f>
        <v/>
      </c>
      <c r="M11" s="46" t="n">
        <v>6</v>
      </c>
      <c r="N11" s="46">
        <f>VLOOKUP(Table1[[#This Row],[Importance]],'Logic and Calculation'!$H$3:$J$12,2,FALSE)</f>
        <v/>
      </c>
      <c r="O11" s="15" t="n"/>
      <c r="P11" s="46" t="n"/>
    </row>
    <row r="12" ht="48" customHeight="1" s="41">
      <c r="A12" s="47" t="inlineStr">
        <is>
          <t>Data &amp; Visibility</t>
        </is>
      </c>
      <c r="B12" s="46" t="inlineStr">
        <is>
          <t>C011</t>
        </is>
      </c>
      <c r="C12" s="46" t="inlineStr">
        <is>
          <t>Product Tag Completeness</t>
        </is>
      </c>
      <c r="D12" s="18" t="inlineStr">
        <is>
          <t>OK</t>
        </is>
      </c>
      <c r="E12" s="3" t="inlineStr">
        <is>
          <t>Check tags completeness across portfolio.</t>
        </is>
      </c>
      <c r="F12" s="3" t="inlineStr">
        <is>
          <t>Missing tags reduce segmentation &amp; analysis quality.</t>
        </is>
      </c>
      <c r="G12" s="3" t="inlineStr">
        <is>
          <t>OK if &lt;10% missing; PARTIAL if 10%–&lt;25% missing; FLAG if ≥25% missing (based on used tag columns).</t>
        </is>
      </c>
      <c r="H12" s="3" t="inlineStr">
        <is>
          <t>Observed: {pct_missing_tags}% missing tags across required tag columns (portfolio). Rule: &lt;25% = PARTIAL, ≥25% = FLAG. Result: {OK/PARTIAL/FLAG}.</t>
        </is>
      </c>
      <c r="I12" s="3" t="inlineStr">
        <is>
          <t>Missing tagging reduces segmentation accuracy and weakens analysis, limiting reliable optimization decisions.</t>
        </is>
      </c>
      <c r="J12" s="3" t="inlineStr">
        <is>
          <t>Complete all the tags on the account - Utilize the Tag Maker on Claude or ChatGPT</t>
        </is>
      </c>
      <c r="K12" s="3" t="inlineStr">
        <is>
          <t>10_Performance_by_Child_ASIN (Tag cols T–X)</t>
        </is>
      </c>
      <c r="L12" s="46">
        <f>VLOOKUP(Table1[[#This Row],[Importance]],'Logic and Calculation'!$H$3:$J$12,3,FALSE)</f>
        <v/>
      </c>
      <c r="M12" s="46" t="n">
        <v>4</v>
      </c>
      <c r="N12" s="46">
        <f>VLOOKUP(Table1[[#This Row],[Importance]],'Logic and Calculation'!$H$3:$J$12,2,FALSE)</f>
        <v/>
      </c>
      <c r="O12" s="15" t="n"/>
      <c r="P12" s="46" t="n"/>
    </row>
    <row r="13" ht="24" customHeight="1" s="41">
      <c r="A13" s="47" t="inlineStr">
        <is>
          <t>Data &amp; Visibility</t>
        </is>
      </c>
      <c r="B13" s="46" t="inlineStr">
        <is>
          <t>C012</t>
        </is>
      </c>
      <c r="C13" s="46" t="inlineStr">
        <is>
          <t>Branded Keywords Defined</t>
        </is>
      </c>
      <c r="D13" s="18" t="inlineStr">
        <is>
          <t>OK</t>
        </is>
      </c>
      <c r="E13" s="3" t="inlineStr">
        <is>
          <t>Check at least 1 brand listed.</t>
        </is>
      </c>
      <c r="F13" s="3" t="inlineStr">
        <is>
          <t>Brand tagging enables branded reporting.</t>
        </is>
      </c>
      <c r="G13" s="3" t="inlineStr">
        <is>
          <t>FLAG if &lt;1 brand.</t>
        </is>
      </c>
      <c r="H13" s="3" t="inlineStr">
        <is>
          <t>Observed: {num_brands_listed} brands listed. Rule: ≥1. Result: {OK/FLAG}.</t>
        </is>
      </c>
      <c r="I13" s="3" t="inlineStr">
        <is>
          <t>Brand definitions enable branded vs non-branded reporting and defensive strategy monitoring.</t>
        </is>
      </c>
      <c r="J13" s="3" t="inlineStr">
        <is>
          <t xml:space="preserve">Include Brand terms on the Portal </t>
        </is>
      </c>
      <c r="K13" s="3" t="inlineStr">
        <is>
          <t>21_Branded_Competitors</t>
        </is>
      </c>
      <c r="L13" s="46">
        <f>VLOOKUP(Table1[[#This Row],[Importance]],'Logic and Calculation'!$H$3:$J$12,3,FALSE)</f>
        <v/>
      </c>
      <c r="M13" s="46" t="n">
        <v>8</v>
      </c>
      <c r="N13" s="46">
        <f>VLOOKUP(Table1[[#This Row],[Importance]],'Logic and Calculation'!$H$3:$J$12,2,FALSE)</f>
        <v/>
      </c>
      <c r="O13" s="15" t="n"/>
      <c r="P13" s="46" t="n"/>
    </row>
    <row r="14" ht="24" customHeight="1" s="41">
      <c r="A14" s="47" t="inlineStr">
        <is>
          <t>Data &amp; Visibility</t>
        </is>
      </c>
      <c r="B14" s="46" t="inlineStr">
        <is>
          <t>C013</t>
        </is>
      </c>
      <c r="C14" s="46" t="inlineStr">
        <is>
          <t>Competitor Keywords Defined</t>
        </is>
      </c>
      <c r="D14" s="18" t="inlineStr">
        <is>
          <t>OK</t>
        </is>
      </c>
      <c r="E14" s="3" t="inlineStr">
        <is>
          <t>Check at least 3 competitors listed.</t>
        </is>
      </c>
      <c r="F14" s="3" t="inlineStr">
        <is>
          <t>Competitor tagging improves analysis; not mandatory.</t>
        </is>
      </c>
      <c r="G14" s="3" t="inlineStr">
        <is>
          <t>PARTIAL if 1–2; FLAG if 0.</t>
        </is>
      </c>
      <c r="H14" s="3" t="inlineStr">
        <is>
          <t>Observed: {num_competitors_listed} competitors listed. Rule: ≥3 = OK; 1–2 = PARTIAL; 0 = FLAG. Result: {OK/PARTIAL/FLAG}.</t>
        </is>
      </c>
      <c r="I14" s="3" t="inlineStr">
        <is>
          <t>Competitor definitions improve competitive analysis and targeting insights; absence limits diagnostic depth.</t>
        </is>
      </c>
      <c r="J14" s="3" t="inlineStr">
        <is>
          <t xml:space="preserve">Include Competitor terms on the Portal </t>
        </is>
      </c>
      <c r="K14" s="3" t="inlineStr">
        <is>
          <t>21_Branded_Competitors</t>
        </is>
      </c>
      <c r="L14" s="46">
        <f>VLOOKUP(Table1[[#This Row],[Importance]],'Logic and Calculation'!$H$3:$J$12,3,FALSE)</f>
        <v/>
      </c>
      <c r="M14" s="46" t="n">
        <v>4</v>
      </c>
      <c r="N14" s="46">
        <f>VLOOKUP(Table1[[#This Row],[Importance]],'Logic and Calculation'!$H$3:$J$12,2,FALSE)</f>
        <v/>
      </c>
      <c r="O14" s="15" t="n"/>
      <c r="P14" s="46" t="n"/>
    </row>
    <row r="15" ht="24" customHeight="1" s="41">
      <c r="A15" s="47" t="inlineStr">
        <is>
          <t>Budget &amp; Structure</t>
        </is>
      </c>
      <c r="B15" s="46" t="inlineStr">
        <is>
          <t>C014</t>
        </is>
      </c>
      <c r="C15" s="46" t="inlineStr">
        <is>
          <t>Unmanaged ASIN</t>
        </is>
      </c>
      <c r="D15" s="18" t="inlineStr">
        <is>
          <t>OK</t>
        </is>
      </c>
      <c r="E15" s="3" t="inlineStr">
        <is>
          <t>Check unmanaged ASINs share.</t>
        </is>
      </c>
      <c r="F15" s="3" t="inlineStr">
        <is>
          <t>Unmanaged products reduce system control.</t>
        </is>
      </c>
      <c r="G15" s="3" t="inlineStr">
        <is>
          <t>OK if no active records; FLAG if any active unmanaged ASIN exists (evaluated by end date).</t>
        </is>
      </c>
      <c r="H15" s="3" t="inlineStr">
        <is>
          <t>Observed: unmanaged spend share = {pct_unmanaged_spend}%. Rule: ≤20%. Result: {OK/FLAG}.</t>
        </is>
      </c>
      <c r="I15" s="3" t="inlineStr">
        <is>
          <t>High unmanaged share reduces system control and increases risk of inefficient spend outside governance.</t>
        </is>
      </c>
      <c r="J15" s="3" t="inlineStr">
        <is>
          <t>Revisit personalization on the given ASINs XXXXX</t>
        </is>
      </c>
      <c r="K15" s="3" t="inlineStr">
        <is>
          <t>26_Unmanaged_ASIN</t>
        </is>
      </c>
      <c r="L15" s="46">
        <f>VLOOKUP(Table1[[#This Row],[Importance]],'Logic and Calculation'!$H$3:$J$12,3,FALSE)</f>
        <v/>
      </c>
      <c r="M15" s="46" t="n">
        <v>7</v>
      </c>
      <c r="N15" s="46">
        <f>VLOOKUP(Table1[[#This Row],[Importance]],'Logic and Calculation'!$H$3:$J$12,2,FALSE)</f>
        <v/>
      </c>
      <c r="O15" s="15" t="n"/>
      <c r="P15" s="46" t="n"/>
    </row>
    <row r="16" ht="24" customHeight="1" s="41">
      <c r="A16" s="47" t="inlineStr">
        <is>
          <t>Budget &amp; Structure</t>
        </is>
      </c>
      <c r="B16" s="46" t="inlineStr">
        <is>
          <t>C015</t>
        </is>
      </c>
      <c r="C16" s="46" t="inlineStr">
        <is>
          <t>Unmanaged Product Budgets</t>
        </is>
      </c>
      <c r="D16" s="18" t="inlineStr">
        <is>
          <t>OK</t>
        </is>
      </c>
      <c r="E16" s="3" t="inlineStr">
        <is>
          <t>Check unmanaged ASIN budgets exist.</t>
        </is>
      </c>
      <c r="F16" s="3" t="inlineStr">
        <is>
          <t>Unmanaged budgets amplify governance risk.</t>
        </is>
      </c>
      <c r="G16" s="3" t="inlineStr">
        <is>
          <t>OK if no data; FLAG if records exist / threshold exceeded.</t>
        </is>
      </c>
      <c r="H16" s="3" t="inlineStr">
        <is>
          <t>Observed: {num_unmanaged_budget_records} unmanaged ASIN budget records. Rule: none expected. Result: {OK/FLAG}.</t>
        </is>
      </c>
      <c r="I16" s="3" t="inlineStr">
        <is>
          <t>Unmanaged budgets can create uncontrolled delivery patterns and weaken governance predictability.</t>
        </is>
      </c>
      <c r="J16" s="3" t="inlineStr">
        <is>
          <t>Revisit personalization on the given ASINs XXXXX</t>
        </is>
      </c>
      <c r="K16" s="3" t="inlineStr">
        <is>
          <t>28_Unmanaged_Budget</t>
        </is>
      </c>
      <c r="L16" s="46">
        <f>VLOOKUP(Table1[[#This Row],[Importance]],'Logic and Calculation'!$H$3:$J$12,3,FALSE)</f>
        <v/>
      </c>
      <c r="M16" s="46" t="n">
        <v>3</v>
      </c>
      <c r="N16" s="46">
        <f>VLOOKUP(Table1[[#This Row],[Importance]],'Logic and Calculation'!$H$3:$J$12,2,FALSE)</f>
        <v/>
      </c>
      <c r="O16" s="15" t="n"/>
      <c r="P16" s="46" t="n"/>
    </row>
    <row r="17" ht="36" customHeight="1" s="41">
      <c r="A17" s="47" t="inlineStr">
        <is>
          <t>Budget &amp; Structure</t>
        </is>
      </c>
      <c r="B17" s="46" t="inlineStr">
        <is>
          <t>C016</t>
        </is>
      </c>
      <c r="C17" s="46" t="inlineStr">
        <is>
          <t>Unmanaged Campaigns</t>
        </is>
      </c>
      <c r="D17" s="18" t="inlineStr">
        <is>
          <t>OK</t>
        </is>
      </c>
      <c r="E17" s="3" t="inlineStr">
        <is>
          <t>Check unmanaged campaigns share.</t>
        </is>
      </c>
      <c r="F17" s="3" t="inlineStr">
        <is>
          <t>Unmanaged campaigns reduce system control.</t>
        </is>
      </c>
      <c r="G17" s="3" t="inlineStr">
        <is>
          <t>OK if no active records; FLAG if any active unmanaged campaign exists (evaluated by end date).</t>
        </is>
      </c>
      <c r="H17" s="3" t="inlineStr">
        <is>
          <t>Observed: unmanaged campaign spend share = {pct_unmanaged_campaign_spend}%. Rule: ≤10%. Result: {OK/FLAG}.</t>
        </is>
      </c>
      <c r="I17" s="3" t="inlineStr">
        <is>
          <t>Unmanaged campaigns operate outside standard controls, increasing efficiency drift and reducing consistency.</t>
        </is>
      </c>
      <c r="J17" s="3" t="inlineStr">
        <is>
          <t>Revisit personalization on the given Campaigns XXXXX</t>
        </is>
      </c>
      <c r="K17" s="3" t="inlineStr">
        <is>
          <t>31_Unmanaged_campaigns</t>
        </is>
      </c>
      <c r="L17" s="46">
        <f>VLOOKUP(Table1[[#This Row],[Importance]],'Logic and Calculation'!$H$3:$J$12,3,FALSE)</f>
        <v/>
      </c>
      <c r="M17" s="46" t="n">
        <v>7</v>
      </c>
      <c r="N17" s="46">
        <f>VLOOKUP(Table1[[#This Row],[Importance]],'Logic and Calculation'!$H$3:$J$12,2,FALSE)</f>
        <v/>
      </c>
      <c r="O17" s="15" t="n"/>
      <c r="P17" s="46" t="n"/>
    </row>
    <row r="18" ht="36" customHeight="1" s="41">
      <c r="A18" s="47" t="inlineStr">
        <is>
          <t>Budget &amp; Structure</t>
        </is>
      </c>
      <c r="B18" s="46" t="inlineStr">
        <is>
          <t>C017</t>
        </is>
      </c>
      <c r="C18" s="46" t="inlineStr">
        <is>
          <t>Unmanaged Campaign Budgets</t>
        </is>
      </c>
      <c r="D18" s="18" t="inlineStr">
        <is>
          <t>OK</t>
        </is>
      </c>
      <c r="E18" s="3" t="inlineStr">
        <is>
          <t>Check unmanaged campaign budgets exist.</t>
        </is>
      </c>
      <c r="F18" s="3" t="inlineStr">
        <is>
          <t>Unmanaged budgets create uncontrolled spend.</t>
        </is>
      </c>
      <c r="G18" s="3" t="inlineStr">
        <is>
          <t>OK if no data; FLAG if records exist / threshold exceeded.</t>
        </is>
      </c>
      <c r="H18" s="3" t="inlineStr">
        <is>
          <t>Observed: {num_unmanaged_campaign_budget_records} unmanaged campaign budget records. Rule: none expected. Result: {OK/FLAG}.</t>
        </is>
      </c>
      <c r="I18" s="3" t="inlineStr">
        <is>
          <t>Budget overrides on unmanaged campaigns increase spend risk and complicate optimization signals.</t>
        </is>
      </c>
      <c r="J18" s="3" t="inlineStr">
        <is>
          <t>Revisit personalization on the given Campaigns XXXXX</t>
        </is>
      </c>
      <c r="K18" s="3" t="inlineStr">
        <is>
          <t>32_Unmanaged_Campaigns_Budget_O</t>
        </is>
      </c>
      <c r="L18" s="46">
        <f>VLOOKUP(Table1[[#This Row],[Importance]],'Logic and Calculation'!$H$3:$J$12,3,FALSE)</f>
        <v/>
      </c>
      <c r="M18" s="46" t="n">
        <v>3</v>
      </c>
      <c r="N18" s="46">
        <f>VLOOKUP(Table1[[#This Row],[Importance]],'Logic and Calculation'!$H$3:$J$12,2,FALSE)</f>
        <v/>
      </c>
      <c r="O18" s="15" t="n"/>
      <c r="P18" s="46" t="n"/>
    </row>
    <row r="19" ht="36" customHeight="1" s="41" thickBot="1">
      <c r="A19" s="47" t="inlineStr">
        <is>
          <t>Account Governance</t>
        </is>
      </c>
      <c r="B19" s="46" t="inlineStr">
        <is>
          <t>C018</t>
        </is>
      </c>
      <c r="C19" s="46" t="inlineStr">
        <is>
          <t>ARIS Manual Recommendations</t>
        </is>
      </c>
      <c r="D19" s="18" t="inlineStr">
        <is>
          <t>OK</t>
        </is>
      </c>
      <c r="E19" s="6" t="inlineStr">
        <is>
          <t>Check for manual SP one-on-one drift (adgroups/targets).</t>
        </is>
      </c>
      <c r="F19" s="6" t="inlineStr">
        <is>
          <t>Manual expansion breaks one-on-one governance.</t>
        </is>
      </c>
      <c r="G19" s="6" t="inlineStr">
        <is>
          <t>OK if no data; FLAG if discrepancies present.</t>
        </is>
      </c>
      <c r="H19" s="6" t="inlineStr">
        <is>
          <t>Observed: manual one-on-one drift detected={YES/NO}; discrepancies={count}. Result: {OK/FLAG}.</t>
        </is>
      </c>
      <c r="I19" s="6" t="inlineStr">
        <is>
          <t>Manual expansion breaks one-on-one governance and introduces structural inconsistency that the system can’t reliably optimize.</t>
        </is>
      </c>
      <c r="J19" s="6" t="inlineStr">
        <is>
          <t xml:space="preserve">Revisit campaigns that are not on our Framework </t>
        </is>
      </c>
      <c r="K19" s="6" t="inlineStr">
        <is>
          <t>42_ARIS__Manual_Recomendation</t>
        </is>
      </c>
      <c r="L19" s="46">
        <f>VLOOKUP(Table1[[#This Row],[Importance]],'Logic and Calculation'!$H$3:$J$12,3,FALSE)</f>
        <v/>
      </c>
      <c r="M19" s="5" t="n">
        <v>7</v>
      </c>
      <c r="N19" s="46">
        <f>VLOOKUP(Table1[[#This Row],[Importance]],'Logic and Calculation'!$H$3:$J$12,2,FALSE)</f>
        <v/>
      </c>
      <c r="O19" s="15" t="n"/>
      <c r="P19" s="46" t="n"/>
    </row>
    <row r="20" ht="36" customHeight="1" s="41">
      <c r="A20" s="47" t="inlineStr">
        <is>
          <t>Account Governance</t>
        </is>
      </c>
      <c r="B20" s="46" t="inlineStr">
        <is>
          <t>C019</t>
        </is>
      </c>
      <c r="C20" s="46" t="inlineStr">
        <is>
          <t>Portfolio VAM Baseline</t>
        </is>
      </c>
      <c r="D20" s="18" t="inlineStr">
        <is>
          <t>OK</t>
        </is>
      </c>
      <c r="E20" s="3" t="inlineStr">
        <is>
          <t>Check portfolio-level VAM baseline active (managed portfolios only).</t>
        </is>
      </c>
      <c r="F20" s="3" t="inlineStr">
        <is>
          <t>Portfolio baselines override governance.</t>
        </is>
      </c>
      <c r="G20" s="3" t="inlineStr">
        <is>
          <t>FLAG if any managed, non-exempt portfolio has IsDailyVamBaseline = TRUE (column N in 25_Portfolio_Insights_and_Confi). Name-based column resolution is used first; column N is the positional fallback. Exempt portfolios: name starts with 'SD QT AMZ' OR contains 'Promo' (case-insensitive)</t>
        </is>
      </c>
      <c r="H20" s="3" t="inlineStr">
        <is>
          <t>Observed: {num_managed_portfolios_with_vam} managed portfolios with VAM baseline enabled. Rule: 0 expected. Result: {OK/FLAG}.</t>
        </is>
      </c>
      <c r="I20" s="3" t="inlineStr">
        <is>
          <t>Portfolio baselines override standard governance and can create segmented behavior that is hard to control at account level.</t>
        </is>
      </c>
      <c r="J20" s="3" t="inlineStr">
        <is>
          <t>Revisit personalization on the given Portoflios  XXXXX</t>
        </is>
      </c>
      <c r="K20" s="3" t="inlineStr">
        <is>
          <t>18_Portfolios (is_managed=TRUE)</t>
        </is>
      </c>
      <c r="L20" s="46">
        <f>VLOOKUP(Table1[[#This Row],[Importance]],'Logic and Calculation'!$H$3:$J$12,3,FALSE)</f>
        <v/>
      </c>
      <c r="M20" s="46" t="n">
        <v>7</v>
      </c>
      <c r="N20" s="46">
        <f>VLOOKUP(Table1[[#This Row],[Importance]],'Logic and Calculation'!$H$3:$J$12,2,FALSE)</f>
        <v/>
      </c>
      <c r="O20" s="15" t="n"/>
      <c r="P20" s="46" t="n"/>
    </row>
    <row r="21" ht="36" customHeight="1" s="41">
      <c r="A21" s="47" t="inlineStr">
        <is>
          <t>Account Governance</t>
        </is>
      </c>
      <c r="B21" s="46" t="inlineStr">
        <is>
          <t>C020</t>
        </is>
      </c>
      <c r="C21" s="46" t="inlineStr">
        <is>
          <t>Portfolio ACoS Targets</t>
        </is>
      </c>
      <c r="D21" s="18" t="inlineStr">
        <is>
          <t>OK</t>
        </is>
      </c>
      <c r="E21" s="3" t="inlineStr">
        <is>
          <t>Check portfolio-level ACoS targets (managed portfolios only).</t>
        </is>
      </c>
      <c r="F21" s="3" t="inlineStr">
        <is>
          <t>Portfolio targets can segment governance.</t>
        </is>
      </c>
      <c r="G21" s="3" t="inlineStr">
        <is>
          <t>FLAG if any managed, non-exempt portfolio has IsTargetACoS = TRUE (column H in 25_Portfolio_Insights_and_Confi). Name-based column resolution is used first; column H is the positional fallback. Exempt portfolios: name starts with 'SD QT AMZ' OR contains 'Promo' (case-insensitive).</t>
        </is>
      </c>
      <c r="H21" s="3" t="inlineStr">
        <is>
          <t>Observed: {num_portfolios_with_targets}/{num_managed_portfolios} managed portfolios have ACoS targets. Result: {OK/PARTIAL/FLAG} (per consistency rule).</t>
        </is>
      </c>
      <c r="I21" s="3" t="inlineStr">
        <is>
          <t>Inconsistent portfolio target usage creates uneven governance and makes performance interpretation less reliable.</t>
        </is>
      </c>
      <c r="J21" s="3" t="inlineStr">
        <is>
          <t>Revisit personalization on the given Portoflios  XXXXX</t>
        </is>
      </c>
      <c r="K21" s="3" t="inlineStr">
        <is>
          <t>18_Portfolios (is_managed=TRUE)</t>
        </is>
      </c>
      <c r="L21" s="46">
        <f>VLOOKUP(Table1[[#This Row],[Importance]],'Logic and Calculation'!$H$3:$J$12,3,FALSE)</f>
        <v/>
      </c>
      <c r="M21" s="46" t="n">
        <v>5</v>
      </c>
      <c r="N21" s="46">
        <f>VLOOKUP(Table1[[#This Row],[Importance]],'Logic and Calculation'!$H$3:$J$12,2,FALSE)</f>
        <v/>
      </c>
      <c r="O21" s="15" t="n"/>
      <c r="P21" s="46" t="n"/>
    </row>
    <row r="22" ht="36" customHeight="1" s="41">
      <c r="A22" s="47" t="inlineStr">
        <is>
          <t>Account Governance</t>
        </is>
      </c>
      <c r="B22" s="46" t="inlineStr">
        <is>
          <t>C021</t>
        </is>
      </c>
      <c r="C22" s="46" t="inlineStr">
        <is>
          <t>Portfolio Budgets</t>
        </is>
      </c>
      <c r="D22" s="18" t="inlineStr">
        <is>
          <t>OK</t>
        </is>
      </c>
      <c r="E22" s="3" t="inlineStr">
        <is>
          <t>Check portfolio budgets (managed portfolios only).</t>
        </is>
      </c>
      <c r="F22" s="3" t="inlineStr">
        <is>
          <t>Portfolio budgets can constrain delivery.</t>
        </is>
      </c>
      <c r="G22" s="3" t="inlineStr">
        <is>
          <t>FLAG if any managed, non-exempt portfolio has IsBudgetCap = TRUE (column J in 25_Portfolio_Insights_and_Confi). IsBudgetCap is a boolean column — only TRUE values are flagged. FALSE values are always OK regardless of other fields. Name-based column resolution is used first; column J is the positional fallback. Exempt portfolios: name starts with 'SD QT AMZ' OR contains 'Promo' (case-insensitive).</t>
        </is>
      </c>
      <c r="H22" s="3" t="inlineStr">
        <is>
          <t>Observed: {num_portfolios_with_budgets}/{num_managed_portfolios} managed portfolios have budgets. Result: {OK/PARTIAL/FLAG} (per consistency rule).</t>
        </is>
      </c>
      <c r="I22" s="3" t="inlineStr">
        <is>
          <t>Partial budget constraints across portfolios can distort delivery and make the system optimize unevenly.</t>
        </is>
      </c>
      <c r="J22" s="3" t="inlineStr">
        <is>
          <t>Revisit personalization on the given Portoflios  XXXXX</t>
        </is>
      </c>
      <c r="K22" s="3" t="inlineStr">
        <is>
          <t>18_Portfolios (is_managed=TRUE)</t>
        </is>
      </c>
      <c r="L22" s="46">
        <f>VLOOKUP(Table1[[#This Row],[Importance]],'Logic and Calculation'!$H$3:$J$12,3,FALSE)</f>
        <v/>
      </c>
      <c r="M22" s="46" t="n">
        <v>5</v>
      </c>
      <c r="N22" s="46">
        <f>VLOOKUP(Table1[[#This Row],[Importance]],'Logic and Calculation'!$H$3:$J$12,2,FALSE)</f>
        <v/>
      </c>
      <c r="O22" s="15" t="n"/>
      <c r="P22" s="46" t="n"/>
    </row>
    <row r="23" ht="36" customHeight="1" s="41">
      <c r="A23" s="47" t="inlineStr">
        <is>
          <t>Account Governance</t>
        </is>
      </c>
      <c r="B23" s="46" t="inlineStr">
        <is>
          <t>C022</t>
        </is>
      </c>
      <c r="C23" s="46" t="inlineStr">
        <is>
          <t>Self Service Enabled</t>
        </is>
      </c>
      <c r="D23" s="18" t="inlineStr">
        <is>
          <t>OK</t>
        </is>
      </c>
      <c r="E23" s="3" t="inlineStr">
        <is>
          <t>Check SelfService == FALSE.</t>
        </is>
      </c>
      <c r="F23" s="3" t="inlineStr">
        <is>
          <t>Self-service reduces governance control.</t>
        </is>
      </c>
      <c r="G23" s="3" t="inlineStr">
        <is>
          <t>FLAG if SelfService=TRUE.</t>
        </is>
      </c>
      <c r="H23" s="3" t="inlineStr">
        <is>
          <t>Observed: SelfService = {TRUE/FALSE}. Rule: must be FALSE. Result: {OK/FLAG}.</t>
        </is>
      </c>
      <c r="I23" s="3" t="inlineStr">
        <is>
          <t>Self-service reduces governance control and increases risk of untracked changes affecting performance.</t>
        </is>
      </c>
      <c r="J23" s="9" t="inlineStr">
        <is>
          <t xml:space="preserve">Disable the Self Service on Settings </t>
        </is>
      </c>
      <c r="K23" s="3" t="inlineStr">
        <is>
          <t>16_Portal_Account_Settings</t>
        </is>
      </c>
      <c r="L23" s="46">
        <f>VLOOKUP(Table1[[#This Row],[Importance]],'Logic and Calculation'!$H$3:$J$12,3,FALSE)</f>
        <v/>
      </c>
      <c r="M23" s="46" t="n">
        <v>3</v>
      </c>
      <c r="N23" s="46">
        <f>VLOOKUP(Table1[[#This Row],[Importance]],'Logic and Calculation'!$H$3:$J$12,2,FALSE)</f>
        <v/>
      </c>
      <c r="O23" s="15" t="n"/>
      <c r="P23" s="46" t="n"/>
    </row>
    <row r="24" ht="36" customHeight="1" s="41">
      <c r="A24" s="47" t="inlineStr">
        <is>
          <t>Account Governance</t>
        </is>
      </c>
      <c r="B24" s="46" t="inlineStr">
        <is>
          <t>C023</t>
        </is>
      </c>
      <c r="C24" s="46" t="inlineStr">
        <is>
          <t>Minimum Bid</t>
        </is>
      </c>
      <c r="D24" s="18" t="inlineStr">
        <is>
          <t>OK</t>
        </is>
      </c>
      <c r="E24" s="3" t="inlineStr">
        <is>
          <t>Check MinBid is exactly $0.02.</t>
        </is>
      </c>
      <c r="F24" s="3" t="inlineStr">
        <is>
          <t>High min bid prevents efficiency controls.</t>
        </is>
      </c>
      <c r="G24" s="3" t="inlineStr">
        <is>
          <t>FLAG if MinBid ≠ $0.02.</t>
        </is>
      </c>
      <c r="H24" s="3" t="inlineStr">
        <is>
          <t>Observed: MinBid = ${value}. Rule: must equal $0.02. Result: {OK/FLAG}.</t>
        </is>
      </c>
      <c r="I24" s="3" t="inlineStr">
        <is>
          <t>Any deviation from the $0.02 MinBid changes the system's bid floor and can distort efficiency controls.</t>
        </is>
      </c>
      <c r="J24" s="9" t="inlineStr">
        <is>
          <t>Return to default values</t>
        </is>
      </c>
      <c r="K24" s="3" t="inlineStr">
        <is>
          <t>41_Seller_Parameter_Insights_Da (EN)</t>
        </is>
      </c>
      <c r="L24" s="46">
        <f>VLOOKUP(Table1[[#This Row],[Importance]],'Logic and Calculation'!$H$3:$J$12,3,FALSE)</f>
        <v/>
      </c>
      <c r="M24" s="46" t="n">
        <v>7</v>
      </c>
      <c r="N24" s="46">
        <f>VLOOKUP(Table1[[#This Row],[Importance]],'Logic and Calculation'!$H$3:$J$12,2,FALSE)</f>
        <v/>
      </c>
      <c r="O24" s="15" t="n"/>
      <c r="P24" s="46" t="n"/>
    </row>
    <row r="25" ht="60" customHeight="1" s="41">
      <c r="A25" s="47" t="inlineStr">
        <is>
          <t>Account Governance</t>
        </is>
      </c>
      <c r="B25" s="46" t="inlineStr">
        <is>
          <t>C024</t>
        </is>
      </c>
      <c r="C25" s="46" t="inlineStr">
        <is>
          <t>Max Conversion Rate</t>
        </is>
      </c>
      <c r="D25" s="18" t="inlineStr">
        <is>
          <t>OK</t>
        </is>
      </c>
      <c r="E25" s="3" t="inlineStr">
        <is>
          <t>Check MaxConversionRate is exactly 25%.</t>
        </is>
      </c>
      <c r="F25" s="3" t="inlineStr">
        <is>
          <t>Incorrect cap limits bid logic.</t>
        </is>
      </c>
      <c r="G25" s="3" t="inlineStr">
        <is>
          <t>FLAG if MaxConversionRate ≠ 25%.</t>
        </is>
      </c>
      <c r="H25" s="3" t="inlineStr">
        <is>
          <t>Observed: MaxConversionRate = {value}%. Rule: must equal 25%. Result: {OK/FLAG}.</t>
        </is>
      </c>
      <c r="I25" s="3" t="inlineStr">
        <is>
          <t>Any deviation from the 25% default alters bid logic and can suppress or inflate bidding beyond rational bounds.</t>
        </is>
      </c>
      <c r="J25" s="9" t="inlineStr">
        <is>
          <t>Return to default values</t>
        </is>
      </c>
      <c r="K25" s="3" t="inlineStr">
        <is>
          <t>41_Seller_Parameter_Insights_Da (EW)</t>
        </is>
      </c>
      <c r="L25" s="46">
        <f>VLOOKUP(Table1[[#This Row],[Importance]],'Logic and Calculation'!$H$3:$J$12,3,FALSE)</f>
        <v/>
      </c>
      <c r="M25" s="46" t="n">
        <v>7</v>
      </c>
      <c r="N25" s="46">
        <f>VLOOKUP(Table1[[#This Row],[Importance]],'Logic and Calculation'!$H$3:$J$12,2,FALSE)</f>
        <v/>
      </c>
      <c r="O25" s="15" t="n"/>
      <c r="P25" s="46" t="n"/>
    </row>
    <row r="26" ht="36" customHeight="1" s="41">
      <c r="A26" s="47" t="inlineStr">
        <is>
          <t>Account Governance</t>
        </is>
      </c>
      <c r="B26" s="46" t="inlineStr">
        <is>
          <t>C025</t>
        </is>
      </c>
      <c r="C26" s="46" t="inlineStr">
        <is>
          <t>Promote/Negate Thresholds</t>
        </is>
      </c>
      <c r="D26" s="18" t="inlineStr">
        <is>
          <t>OK</t>
        </is>
      </c>
      <c r="E26" s="3" t="inlineStr">
        <is>
          <t>Check promote/negate min clicks defaults.</t>
        </is>
      </c>
      <c r="F26" s="3" t="inlineStr">
        <is>
          <t>Wrong thresholds degrade automation quality.</t>
        </is>
      </c>
      <c r="G26" s="3" t="inlineStr">
        <is>
          <t>FLAG if promote/negate min clicks != 0 (default).</t>
        </is>
      </c>
      <c r="H26" s="3" t="inlineStr">
        <is>
          <t>Observed: promote/negate min clicks = {value}. Rule: 0 (default). Result: {OK/FLAG}.</t>
        </is>
      </c>
      <c r="I26" s="3" t="inlineStr">
        <is>
          <t>Wrong thresholds degrade automation quality, causing premature negations or missed promotion opportunities.</t>
        </is>
      </c>
      <c r="J26" s="9" t="inlineStr">
        <is>
          <t>Return to default values</t>
        </is>
      </c>
      <c r="K26" s="3" t="inlineStr">
        <is>
          <t>16_Portal_Account_Settings (Promote/Negate)</t>
        </is>
      </c>
      <c r="L26" s="46">
        <f>VLOOKUP(Table1[[#This Row],[Importance]],'Logic and Calculation'!$H$3:$J$12,3,FALSE)</f>
        <v/>
      </c>
      <c r="M26" s="46" t="n">
        <v>5</v>
      </c>
      <c r="N26" s="46">
        <f>VLOOKUP(Table1[[#This Row],[Importance]],'Logic and Calculation'!$H$3:$J$12,2,FALSE)</f>
        <v/>
      </c>
      <c r="O26" s="15" t="n"/>
      <c r="P26" s="46" t="n"/>
    </row>
    <row r="27" ht="36" customHeight="1" s="41">
      <c r="A27" s="47" t="inlineStr">
        <is>
          <t>Account Governance</t>
        </is>
      </c>
      <c r="B27" s="46" t="inlineStr">
        <is>
          <t>C026</t>
        </is>
      </c>
      <c r="C27" s="46" t="inlineStr">
        <is>
          <t>Budget Management Toggle</t>
        </is>
      </c>
      <c r="D27" s="18" t="inlineStr">
        <is>
          <t>OK</t>
        </is>
      </c>
      <c r="E27" s="3" t="inlineStr">
        <is>
          <t>Check BudgetManagement==TRUE.</t>
        </is>
      </c>
      <c r="F27" s="3" t="inlineStr">
        <is>
          <t>Disabling budget mgmt reduces system control.</t>
        </is>
      </c>
      <c r="G27" s="3" t="inlineStr">
        <is>
          <t>FLAG if FALSE.</t>
        </is>
      </c>
      <c r="H27" s="3" t="inlineStr">
        <is>
          <t>Observed: BudgetManagement = {TRUE/FALSE}. Rule: must be TRUE. Result: {OK/FLAG}.</t>
        </is>
      </c>
      <c r="I27" s="3" t="inlineStr">
        <is>
          <t>Disabling budget management removes critical guardrails and can increase out-of-budget behavior or inefficient pacing.</t>
        </is>
      </c>
      <c r="J27" s="46" t="inlineStr">
        <is>
          <t>Enable Budget Management Toggle</t>
        </is>
      </c>
      <c r="K27" s="3" t="inlineStr">
        <is>
          <t>41_Seller_Parameter_Insights_Da (EO)</t>
        </is>
      </c>
      <c r="L27" s="46">
        <f>VLOOKUP(Table1[[#This Row],[Importance]],'Logic and Calculation'!$H$3:$J$12,3,FALSE)</f>
        <v/>
      </c>
      <c r="M27" s="46" t="n">
        <v>6</v>
      </c>
      <c r="N27" s="46">
        <f>VLOOKUP(Table1[[#This Row],[Importance]],'Logic and Calculation'!$H$3:$J$12,2,FALSE)</f>
        <v/>
      </c>
      <c r="O27" s="15" t="n"/>
      <c r="P27" s="46" t="n"/>
    </row>
    <row r="28" ht="36" customHeight="1" s="41">
      <c r="A28" s="47" t="inlineStr">
        <is>
          <t>Account Governance</t>
        </is>
      </c>
      <c r="B28" s="46" t="inlineStr">
        <is>
          <t>C027</t>
        </is>
      </c>
      <c r="C28" s="46" t="inlineStr">
        <is>
          <t>Placement Modifier Toggle</t>
        </is>
      </c>
      <c r="D28" s="18" t="inlineStr">
        <is>
          <t>OK</t>
        </is>
      </c>
      <c r="E28" s="3" t="inlineStr">
        <is>
          <t>Check PlacementSBManagement==TRUE.</t>
        </is>
      </c>
      <c r="F28" s="3" t="inlineStr">
        <is>
          <t>Disabling placement mgmt reduces optimization.</t>
        </is>
      </c>
      <c r="G28" s="3" t="inlineStr">
        <is>
          <t>FLAG if FALSE.</t>
        </is>
      </c>
      <c r="H28" s="3" t="inlineStr">
        <is>
          <t>Observed: PlacementSBManagement = {TRUE/FALSE}. Rule: must be TRUE. Result: {OK/FLAG}.</t>
        </is>
      </c>
      <c r="I28" s="3" t="inlineStr">
        <is>
          <t>Disabling placement controls reduces the system’s ability to optimize by placement signals, lowering efficiency.</t>
        </is>
      </c>
      <c r="J28" s="46" t="inlineStr">
        <is>
          <t>Enable Placement Modifier Toggle</t>
        </is>
      </c>
      <c r="K28" s="3" t="inlineStr">
        <is>
          <t>41_Seller_Parameter_Insights_Da (ES)</t>
        </is>
      </c>
      <c r="L28" s="46">
        <f>VLOOKUP(Table1[[#This Row],[Importance]],'Logic and Calculation'!$H$3:$J$12,3,FALSE)</f>
        <v/>
      </c>
      <c r="M28" s="46" t="n">
        <v>6</v>
      </c>
      <c r="N28" s="46">
        <f>VLOOKUP(Table1[[#This Row],[Importance]],'Logic and Calculation'!$H$3:$J$12,2,FALSE)</f>
        <v/>
      </c>
      <c r="O28" s="15" t="n"/>
      <c r="P28" s="46" t="n"/>
    </row>
    <row r="29" ht="36" customHeight="1" s="41">
      <c r="A29" s="47" t="inlineStr">
        <is>
          <t>Account Governance</t>
        </is>
      </c>
      <c r="B29" s="46" t="inlineStr">
        <is>
          <t>C028</t>
        </is>
      </c>
      <c r="C29" s="46" t="inlineStr">
        <is>
          <t>Hourly Bidding Toggle</t>
        </is>
      </c>
      <c r="D29" s="18" t="inlineStr">
        <is>
          <t>OK</t>
        </is>
      </c>
      <c r="E29" s="3" t="inlineStr">
        <is>
          <t>Check MktStreamHourlyBidAdjustments==TRUE.</t>
        </is>
      </c>
      <c r="F29" s="3" t="inlineStr">
        <is>
          <t>Disabling hourly bidding reduces efficiency.</t>
        </is>
      </c>
      <c r="G29" s="3" t="inlineStr">
        <is>
          <t>FLAG if FALSE.</t>
        </is>
      </c>
      <c r="H29" s="3" t="inlineStr">
        <is>
          <t>Observed: MktStreamHourlyBidAdjustments = {TRUE/FALSE}. Rule: must be TRUE. Result: {OK/FLAG}.</t>
        </is>
      </c>
      <c r="I29" s="3" t="inlineStr">
        <is>
          <t>Without hourly adjustments, the system can’t respond to intraday conversion patterns, reducing bidding efficiency.</t>
        </is>
      </c>
      <c r="J29" s="46" t="inlineStr">
        <is>
          <t>Enable Hourly Bidding Toggle</t>
        </is>
      </c>
      <c r="K29" s="3" t="inlineStr">
        <is>
          <t>41_Seller_Parameter_Insights_Da (EL)</t>
        </is>
      </c>
      <c r="L29" s="46">
        <f>VLOOKUP(Table1[[#This Row],[Importance]],'Logic and Calculation'!$H$3:$J$12,3,FALSE)</f>
        <v/>
      </c>
      <c r="M29" s="46" t="n">
        <v>8</v>
      </c>
      <c r="N29" s="46">
        <f>VLOOKUP(Table1[[#This Row],[Importance]],'Logic and Calculation'!$H$3:$J$12,2,FALSE)</f>
        <v/>
      </c>
      <c r="O29" s="15" t="n"/>
      <c r="P29" s="46" t="n"/>
    </row>
    <row r="30" ht="24" customHeight="1" s="41">
      <c r="A30" s="47" t="inlineStr">
        <is>
          <t>Account Governance</t>
        </is>
      </c>
      <c r="B30" s="46" t="inlineStr">
        <is>
          <t>C029</t>
        </is>
      </c>
      <c r="C30" s="46" t="inlineStr">
        <is>
          <t>Auto Import Campaigns</t>
        </is>
      </c>
      <c r="D30" s="18" t="inlineStr">
        <is>
          <t>OK</t>
        </is>
      </c>
      <c r="E30" s="3" t="inlineStr">
        <is>
          <t>Check AutomaticallyImportCampaigns==FALSE.</t>
        </is>
      </c>
      <c r="F30" s="3" t="inlineStr">
        <is>
          <t>Auto-import hides changes and reduces control.</t>
        </is>
      </c>
      <c r="G30" s="3" t="inlineStr">
        <is>
          <t>FLAG if TRUE.</t>
        </is>
      </c>
      <c r="H30" s="3" t="inlineStr">
        <is>
          <t>Observed: AutomaticallyImportCampaigns = {TRUE/FALSE}. Rule: must be FALSE. Result: {OK/FLAG}.</t>
        </is>
      </c>
      <c r="I30" s="3" t="inlineStr">
        <is>
          <t>Auto-import introduces changes without governance visibility and can destabilize optimization.</t>
        </is>
      </c>
      <c r="J30" s="3" t="inlineStr">
        <is>
          <t>Disable Auto Import Campaigns Toggle</t>
        </is>
      </c>
      <c r="K30" s="3" t="inlineStr">
        <is>
          <t>41_Seller_Parameter_Insights_Da (EY)</t>
        </is>
      </c>
      <c r="L30" s="46">
        <f>VLOOKUP(Table1[[#This Row],[Importance]],'Logic and Calculation'!$H$3:$J$12,3,FALSE)</f>
        <v/>
      </c>
      <c r="M30" s="46" t="n">
        <v>4</v>
      </c>
      <c r="N30" s="46">
        <f>VLOOKUP(Table1[[#This Row],[Importance]],'Logic and Calculation'!$H$3:$J$12,2,FALSE)</f>
        <v/>
      </c>
      <c r="O30" s="15" t="n"/>
      <c r="P30" s="46" t="n"/>
    </row>
    <row r="31" ht="108" customHeight="1" s="41">
      <c r="A31" s="47" t="inlineStr">
        <is>
          <t>Account Governance</t>
        </is>
      </c>
      <c r="B31" s="46" t="inlineStr">
        <is>
          <t>C030</t>
        </is>
      </c>
      <c r="C31" s="46" t="inlineStr">
        <is>
          <t>Stop Audience Auto-Link</t>
        </is>
      </c>
      <c r="D31" s="18" t="inlineStr">
        <is>
          <t>OK</t>
        </is>
      </c>
      <c r="E31" s="3" t="inlineStr">
        <is>
          <t>Check StopAudienceAutoLink==FALSE.</t>
        </is>
      </c>
      <c r="F31" s="3" t="inlineStr">
        <is>
          <t>Auto-linking can create uncontrolled audience expansion.</t>
        </is>
      </c>
      <c r="G31" s="3" t="inlineStr">
        <is>
          <t>FLAG if TRUE.</t>
        </is>
      </c>
      <c r="H31" s="3" t="inlineStr">
        <is>
          <t>Observed: StopAudienceAutoLink={TRUE/FALSE}. Rule: must be FALSE. Result: {OK/FLAG}.</t>
        </is>
      </c>
      <c r="I31" s="3" t="inlineStr">
        <is>
          <t>Auto-linking can expand audiences without governance, increasing spend risk and reducing targeting control.</t>
        </is>
      </c>
      <c r="J31" s="46" t="inlineStr">
        <is>
          <t>Disable Stop Audience Auto-Link Toggle</t>
        </is>
      </c>
      <c r="K31" s="3" t="inlineStr">
        <is>
          <t>41_Seller_Parameter_Insights_Da (FA)</t>
        </is>
      </c>
      <c r="L31" s="46">
        <f>VLOOKUP(Table1[[#This Row],[Importance]],'Logic and Calculation'!$H$3:$J$12,3,FALSE)</f>
        <v/>
      </c>
      <c r="M31" s="46" t="n">
        <v>6</v>
      </c>
      <c r="N31" s="46">
        <f>VLOOKUP(Table1[[#This Row],[Importance]],'Logic and Calculation'!$H$3:$J$12,2,FALSE)</f>
        <v/>
      </c>
      <c r="O31" s="15" t="n"/>
      <c r="P31" s="46" t="n"/>
    </row>
    <row r="32" ht="60" customHeight="1" s="41">
      <c r="A32" s="47" t="inlineStr">
        <is>
          <t>Account Governance</t>
        </is>
      </c>
      <c r="B32" s="46" t="inlineStr">
        <is>
          <t>C031</t>
        </is>
      </c>
      <c r="C32" s="46" t="inlineStr">
        <is>
          <t>B2B Placement Management</t>
        </is>
      </c>
      <c r="D32" s="18" t="inlineStr">
        <is>
          <t>OK</t>
        </is>
      </c>
      <c r="E32" s="3" t="inlineStr">
        <is>
          <t>Check IsB2bPlacementManagement==TRUE.</t>
        </is>
      </c>
      <c r="F32" s="3" t="inlineStr">
        <is>
          <t>Ensures B2B opportunity capture.</t>
        </is>
      </c>
      <c r="G32" s="3" t="inlineStr">
        <is>
          <t>FLAG if FALSE.</t>
        </is>
      </c>
      <c r="H32" s="3" t="inlineStr">
        <is>
          <t>Observed: IsB2bPlacementManagement={TRUE/FALSE}. Rule: must be TRUE. Result: {OK/FLAG}.</t>
        </is>
      </c>
      <c r="I32" s="3" t="inlineStr">
        <is>
          <t>Disabling B2B placement limits B2B opportunity capture and can reduce performance for eligible accounts.</t>
        </is>
      </c>
      <c r="J32" s="46" t="inlineStr">
        <is>
          <t>Enable B2B Placement Management Toggle</t>
        </is>
      </c>
      <c r="K32" s="3" t="inlineStr">
        <is>
          <t>41_Seller_Parameter_Insights_Da (FE)</t>
        </is>
      </c>
      <c r="L32" s="46">
        <f>VLOOKUP(Table1[[#This Row],[Importance]],'Logic and Calculation'!$H$3:$J$12,3,FALSE)</f>
        <v/>
      </c>
      <c r="M32" s="46" t="n">
        <v>5</v>
      </c>
      <c r="N32" s="46">
        <f>VLOOKUP(Table1[[#This Row],[Importance]],'Logic and Calculation'!$H$3:$J$12,2,FALSE)</f>
        <v/>
      </c>
      <c r="O32" s="15" t="n"/>
      <c r="P32" s="46" t="n"/>
    </row>
    <row r="33" ht="48" customHeight="1" s="41">
      <c r="A33" s="47" t="inlineStr">
        <is>
          <t>Account Governance</t>
        </is>
      </c>
      <c r="B33" s="46" t="inlineStr">
        <is>
          <t>C032</t>
        </is>
      </c>
      <c r="C33" s="46" t="inlineStr">
        <is>
          <t>Has Display Promote</t>
        </is>
      </c>
      <c r="D33" s="18" t="inlineStr">
        <is>
          <t>OK</t>
        </is>
      </c>
      <c r="E33" s="3" t="inlineStr">
        <is>
          <t>Check HasDisplayPromote==TRUE.</t>
        </is>
      </c>
      <c r="F33" s="3" t="inlineStr">
        <is>
          <t>Allows system to promote new SD based on performance.</t>
        </is>
      </c>
      <c r="G33" s="3" t="inlineStr">
        <is>
          <t>FLAG if FALSE.</t>
        </is>
      </c>
      <c r="H33" s="3" t="inlineStr">
        <is>
          <t>Observed: HasDisplayPromote={TRUE/FALSE}. Rule: must be TRUE. Result: {OK/FLAG}.</t>
        </is>
      </c>
      <c r="I33" s="3" t="inlineStr">
        <is>
          <t>If disabled, the system can’t promote Sponsored Display based on performance signals, reducing scaling efficiency.</t>
        </is>
      </c>
      <c r="J33" s="46" t="inlineStr">
        <is>
          <t>Enable Has Display Promote Toggle and keep the SD VCPM disabled</t>
        </is>
      </c>
      <c r="K33" s="3" t="inlineStr">
        <is>
          <t>41_Seller_Parameter_Insights_Da (DE)</t>
        </is>
      </c>
      <c r="L33" s="46">
        <f>VLOOKUP(Table1[[#This Row],[Importance]],'Logic and Calculation'!$H$3:$J$12,3,FALSE)</f>
        <v/>
      </c>
      <c r="M33" s="46" t="n">
        <v>4</v>
      </c>
      <c r="N33" s="46">
        <f>VLOOKUP(Table1[[#This Row],[Importance]],'Logic and Calculation'!$H$3:$J$12,2,FALSE)</f>
        <v/>
      </c>
      <c r="O33" s="15" t="n"/>
      <c r="P33" s="46" t="n"/>
    </row>
    <row r="34" ht="36" customHeight="1" s="41">
      <c r="A34" s="47" t="inlineStr">
        <is>
          <t>Account Governance</t>
        </is>
      </c>
      <c r="B34" s="46" t="inlineStr">
        <is>
          <t>C033</t>
        </is>
      </c>
      <c r="C34" s="46" t="inlineStr">
        <is>
          <t>ChangeSBV</t>
        </is>
      </c>
      <c r="D34" s="18" t="inlineStr">
        <is>
          <t>OK</t>
        </is>
      </c>
      <c r="E34" s="3" t="inlineStr">
        <is>
          <t>Check ChangeSBV==TRUE.</t>
        </is>
      </c>
      <c r="F34" s="3" t="inlineStr">
        <is>
          <t>Allows system to manage SBV campaigns.</t>
        </is>
      </c>
      <c r="G34" s="3" t="inlineStr">
        <is>
          <t>FLAG if FALSE.</t>
        </is>
      </c>
      <c r="H34" s="3" t="inlineStr">
        <is>
          <t>Observed: ChangeSBV={TRUE/FALSE}. Rule: must be TRUE. Result: {OK/FLAG}.</t>
        </is>
      </c>
      <c r="I34" s="3" t="inlineStr">
        <is>
          <t>If disabled, SBV can’t be managed automatically, increasing risk of inefficient spend or missed opportunity.</t>
        </is>
      </c>
      <c r="J34" s="46" t="inlineStr">
        <is>
          <t>Enable ChangeSBV Toggle</t>
        </is>
      </c>
      <c r="K34" s="3" t="inlineStr">
        <is>
          <t>41_Seller_Parameter_Insights_Da (DF)</t>
        </is>
      </c>
      <c r="L34" s="46">
        <f>VLOOKUP(Table1[[#This Row],[Importance]],'Logic and Calculation'!$H$3:$J$12,3,FALSE)</f>
        <v/>
      </c>
      <c r="M34" s="46" t="n">
        <v>5</v>
      </c>
      <c r="N34" s="46">
        <f>VLOOKUP(Table1[[#This Row],[Importance]],'Logic and Calculation'!$H$3:$J$12,2,FALSE)</f>
        <v/>
      </c>
      <c r="O34" s="15" t="n"/>
      <c r="P34" s="46" t="n"/>
    </row>
    <row r="35" ht="36" customHeight="1" s="41">
      <c r="A35" s="47" t="inlineStr">
        <is>
          <t>RBO - Sponsored Products</t>
        </is>
      </c>
      <c r="B35" s="46" t="inlineStr">
        <is>
          <t>C034</t>
        </is>
      </c>
      <c r="C35" s="46" t="inlineStr">
        <is>
          <t>Rule Based Optimization (RBO)</t>
        </is>
      </c>
      <c r="D35" s="18" t="inlineStr">
        <is>
          <t>OK</t>
        </is>
      </c>
      <c r="E35" s="3" t="inlineStr">
        <is>
          <t>Check if any RBO rules exist.</t>
        </is>
      </c>
      <c r="F35" s="3" t="inlineStr">
        <is>
          <t>RBO overrides system parameters.</t>
        </is>
      </c>
      <c r="G35" s="3" t="inlineStr">
        <is>
          <t>OK if no rules; FLAG if any rules exist (active indicator TBD).</t>
        </is>
      </c>
      <c r="H35" s="3" t="inlineStr">
        <is>
          <t>Observed: {num_rbo_rules} RBO rules detected; active={TRUE/FALSE/TBD}. Result: {OK/FLAG}.</t>
        </is>
      </c>
      <c r="I35" s="3" t="inlineStr">
        <is>
          <t>RBO can override system decisioning and create non-standard optimization behaviors that must be governed.</t>
        </is>
      </c>
      <c r="J35" s="3" t="inlineStr">
        <is>
          <t>Revisit RBO configurations - if they are aligned with the client objective</t>
        </is>
      </c>
      <c r="K35" s="3" t="inlineStr">
        <is>
          <t>RBO tab (TBD)</t>
        </is>
      </c>
      <c r="L35" s="46">
        <f>VLOOKUP(Table1[[#This Row],[Importance]],'Logic and Calculation'!$H$3:$J$12,3,FALSE)</f>
        <v/>
      </c>
      <c r="M35" s="46" t="n">
        <v>8</v>
      </c>
      <c r="N35" s="46">
        <f>VLOOKUP(Table1[[#This Row],[Importance]],'Logic and Calculation'!$H$3:$J$12,2,FALSE)</f>
        <v/>
      </c>
      <c r="O35" s="15" t="n"/>
      <c r="P35" s="46" t="n"/>
    </row>
    <row r="36" ht="36" customHeight="1" s="41">
      <c r="A36" s="47" t="inlineStr">
        <is>
          <t>Sponsored Products</t>
        </is>
      </c>
      <c r="B36" s="46" t="inlineStr">
        <is>
          <t>C035</t>
        </is>
      </c>
      <c r="C36" s="46" t="inlineStr">
        <is>
          <t>SPT Coverage</t>
        </is>
      </c>
      <c r="D36" s="18" t="inlineStr">
        <is>
          <t>OK</t>
        </is>
      </c>
      <c r="E36" s="3" t="inlineStr">
        <is>
          <t>Check existence of SPT per brand/category + spend concentration. ( And the category TOTAL SALES SHOULD be more than 5%)</t>
        </is>
      </c>
      <c r="F36" s="3" t="inlineStr">
        <is>
          <t>Defensive gaps allow competitor intrusion.</t>
        </is>
      </c>
      <c r="G36" s="3" t="inlineStr">
        <is>
          <t>FLAG if no SPT; PARTIAL if missing SPT per relevant categories (&gt;=30 ASINs &amp; &gt;1 parent).</t>
        </is>
      </c>
      <c r="H36" s="3" t="inlineStr">
        <is>
          <t>Observed: SPT present={YES/NO}; coverage gaps={gap_summary}. Result: {OK/PARTIAL/FLAG}.</t>
        </is>
      </c>
      <c r="I36" s="3" t="inlineStr">
        <is>
          <t>Missing defensive coverage exposes listings to competitor conquesting and weakens branded protection.</t>
        </is>
      </c>
      <c r="J36" s="3" t="inlineStr">
        <is>
          <t>Launch SPT accordingly to our Framework Structure</t>
        </is>
      </c>
      <c r="K36" s="3" t="inlineStr">
        <is>
          <t>11_Campaigns_Grouped_by_ASIN / 18_Performance_by_Category / 14_Campaign_Performance</t>
        </is>
      </c>
      <c r="L36" s="46">
        <f>VLOOKUP(Table1[[#This Row],[Importance]],'Logic and Calculation'!$H$3:$J$12,3,FALSE)</f>
        <v/>
      </c>
      <c r="M36" s="46" t="n">
        <v>9</v>
      </c>
      <c r="N36" s="46">
        <f>VLOOKUP(Table1[[#This Row],[Importance]],'Logic and Calculation'!$H$3:$J$12,2,FALSE)</f>
        <v/>
      </c>
      <c r="O36" s="15" t="n"/>
      <c r="P36" s="46" t="n"/>
    </row>
    <row r="37" ht="48" customHeight="1" s="41">
      <c r="A37" s="47" t="inlineStr">
        <is>
          <t>Sponsored Products</t>
        </is>
      </c>
      <c r="B37" s="46" t="inlineStr">
        <is>
          <t>C036</t>
        </is>
      </c>
      <c r="C37" s="46" t="inlineStr">
        <is>
          <t>CatchAll vs WATM</t>
        </is>
      </c>
      <c r="D37" s="18" t="inlineStr">
        <is>
          <t>OK</t>
        </is>
      </c>
      <c r="E37" s="3" t="inlineStr">
        <is>
          <t>Check presence of CatchAll when required.</t>
        </is>
      </c>
      <c r="F37" s="3" t="inlineStr">
        <is>
          <t>CatchAll preferred under certain account conditions.</t>
        </is>
      </c>
      <c r="G37" s="3" t="inlineStr">
        <is>
          <t>PARTIAL if no CatchAll when CPC&lt;0.50 AND ASINs&gt;200 AND ACoS target&lt;15%.</t>
        </is>
      </c>
      <c r="H37" s="3" t="inlineStr">
        <is>
          <t>Observed: CatchAll present={YES/NO} under conditions (CPC&lt;0.50, ASINs&gt;200, target&lt;15%). Result: {OK/PARTIAL}.</t>
        </is>
      </c>
      <c r="I37" s="3" t="inlineStr">
        <is>
          <t>In accounts where broader structures outperform, missing CatchAll can reduce discovery and limit stable delivery.</t>
        </is>
      </c>
      <c r="J37" s="3" t="inlineStr">
        <is>
          <t>Launch WATM or Catchall accordingly to our Framework Structure</t>
        </is>
      </c>
      <c r="K37" s="3" t="inlineStr">
        <is>
          <t>11_Campaigns_Grouped_by_ASIN / account metrics tabs</t>
        </is>
      </c>
      <c r="L37" s="46">
        <f>VLOOKUP(Table1[[#This Row],[Importance]],'Logic and Calculation'!$H$3:$J$12,3,FALSE)</f>
        <v/>
      </c>
      <c r="M37" s="46" t="n">
        <v>8</v>
      </c>
      <c r="N37" s="46">
        <f>VLOOKUP(Table1[[#This Row],[Importance]],'Logic and Calculation'!$H$3:$J$12,2,FALSE)</f>
        <v/>
      </c>
      <c r="O37" s="15" t="n"/>
      <c r="P37" s="46" t="n"/>
    </row>
    <row r="38" ht="36" customHeight="1" s="41">
      <c r="A38" s="47" t="inlineStr">
        <is>
          <t>Sponsored Products</t>
        </is>
      </c>
      <c r="B38" s="46" t="inlineStr">
        <is>
          <t>C037</t>
        </is>
      </c>
      <c r="C38" s="46" t="inlineStr">
        <is>
          <t>ATM Coverage for Top Sellers</t>
        </is>
      </c>
      <c r="D38" s="18" t="inlineStr">
        <is>
          <t>OK</t>
        </is>
      </c>
      <c r="E38" s="3" t="inlineStr">
        <is>
          <t>Check if TIER 30 ASINs with &gt;1.5 orders/day (≥45 orders in 30d) have ATM spend assigned.</t>
        </is>
      </c>
      <c r="F38" s="3" t="inlineStr">
        <is>
          <t>ATM for low velocity wastes spend; BA supports discovery.</t>
        </is>
      </c>
      <c r="G38" s="3" t="inlineStr">
        <is>
          <t>FLAG if TIER 30 ASINs with &gt;1.5 orders/day have zero ATM spend. Orders per day = total orders / window days. Total orders = TotalSales ÷ AOV when both columns are available in tab 14 (captures organically-selling ASINs not visible in ad orders alone). Fallback: ad Orders column when TotalSales or AOV is missing.</t>
        </is>
      </c>
      <c r="H38" s="3" t="inlineStr">
        <is>
          <t>Observed: {num_top_seller_asins} TIER 30 ASIN(s) with &gt;1.5 orders/day and no ATM spend. Result: {OK/FLAG}.</t>
        </is>
      </c>
      <c r="I38" s="3" t="inlineStr">
        <is>
          <t>Top-selling ASINs without ATM coverage miss targeted bidding opportunities and leave high-velocity products under-optimized.</t>
        </is>
      </c>
      <c r="J38" s="3" t="inlineStr">
        <is>
          <t>Launch ATM campaings for Best selling items</t>
        </is>
      </c>
      <c r="K38" s="3" t="inlineStr">
        <is>
          <t>14_Campaign_Performance_by_Adve (Tier col T, ATM_Spend, Orders)</t>
        </is>
      </c>
      <c r="L38" s="46">
        <f>VLOOKUP(Table1[[#This Row],[Importance]],'Logic and Calculation'!$H$3:$J$12,3,FALSE)</f>
        <v/>
      </c>
      <c r="M38" s="46" t="n">
        <v>8</v>
      </c>
      <c r="N38" s="46">
        <f>VLOOKUP(Table1[[#This Row],[Importance]],'Logic and Calculation'!$H$3:$J$12,2,FALSE)</f>
        <v/>
      </c>
      <c r="O38" s="15" t="n"/>
      <c r="P38" s="46" t="n"/>
    </row>
    <row r="39" ht="36" customHeight="1" s="41">
      <c r="A39" s="47" t="inlineStr">
        <is>
          <t>Sponsored Products</t>
        </is>
      </c>
      <c r="B39" s="46" t="inlineStr">
        <is>
          <t>C038</t>
        </is>
      </c>
      <c r="C39" s="46" t="inlineStr">
        <is>
          <t>ATM Catalog Coverage</t>
        </is>
      </c>
      <c r="D39" s="18" t="inlineStr">
        <is>
          <t>OK</t>
        </is>
      </c>
      <c r="E39" s="3" t="inlineStr">
        <is>
          <t>Check if ASINs with &lt;1.5 orders/day have ATM spend active.</t>
        </is>
      </c>
      <c r="F39" s="3" t="inlineStr">
        <is>
          <t>ATM on low-velocity ASINs wastes budget and distorts catalog efficiency.</t>
        </is>
      </c>
      <c r="G39" s="3" t="inlineStr">
        <is>
          <t>Check what percentage of ASINs have fewer than 1.5 orders/day but still have ATM spend active. Orders per day = total orders / window days. Total orders = TotalSales ÷ AOV when both columns are available in tab 14; fallback to ad Orders. &gt;20% of ASINs affected = FLAG. 10%–20% = PARTIAL. &lt;10% = OK.</t>
        </is>
      </c>
      <c r="H39" s="3" t="inlineStr">
        <is>
          <t>Observed: {num_affected_asins} of {total_asins} ASINs ({pct}%) with &lt;1.5 orders/day have ATM spend active. Rule: &lt;10% OK, 10–20% PARTIAL, &gt;20% FLAG.</t>
        </is>
      </c>
      <c r="I39" s="3" t="inlineStr">
        <is>
          <t>ATM spend on low-velocity ASINs inflates cost without proportional return and reduces overall catalog efficiency.</t>
        </is>
      </c>
      <c r="J39" s="3" t="inlineStr">
        <is>
          <t>Revisit the need of ATM campaigns for slow movers on the account</t>
        </is>
      </c>
      <c r="K39" s="3" t="inlineStr">
        <is>
          <t>14_Campaign_Performance_by_Adve (ATM_Spend, Orders)</t>
        </is>
      </c>
      <c r="L39" s="46">
        <f>VLOOKUP(Table1[[#This Row],[Importance]],'Logic and Calculation'!$H$3:$J$12,3,FALSE)</f>
        <v/>
      </c>
      <c r="M39" s="46" t="n">
        <v>7</v>
      </c>
      <c r="N39" s="46">
        <f>VLOOKUP(Table1[[#This Row],[Importance]],'Logic and Calculation'!$H$3:$J$12,2,FALSE)</f>
        <v/>
      </c>
      <c r="O39" s="15" t="n"/>
      <c r="P39" s="46" t="n"/>
    </row>
    <row r="40" ht="85.8" customHeight="1" s="41">
      <c r="A40" s="47" t="inlineStr">
        <is>
          <t>Sponsored Products</t>
        </is>
      </c>
      <c r="B40" s="46" t="inlineStr">
        <is>
          <t>C039</t>
        </is>
      </c>
      <c r="C40" s="46" t="inlineStr">
        <is>
          <t>Branded vs Non-Branded Mix</t>
        </is>
      </c>
      <c r="D40" s="18" t="inlineStr">
        <is>
          <t>OK</t>
        </is>
      </c>
      <c r="E40" s="3" t="inlineStr">
        <is>
          <t>Check branded spend share and branded sales share (both calculated from 12_Search_Terms_by_Category).</t>
        </is>
      </c>
      <c r="F40" s="3" t="inlineStr">
        <is>
          <t>Branded defenses should exist but not dominate.</t>
        </is>
      </c>
      <c r="G40" s="3" t="inlineStr">
        <is>
          <t>FLAG if &lt;1% or &gt;35%; PARTIAL if 1–5% or 20–35%; OK if 5–20%. Worst result between spend and sales wins.</t>
        </is>
      </c>
      <c r="H40" s="3" t="inlineStr">
        <is>
          <t>Observed: branded spend share={spend_pct}%; branded sales share={sales_pct}%. Rule: 5–20% OK, 1–5%/20–35% PARTIAL, &lt;1%/&gt;35% FLAG.</t>
        </is>
      </c>
      <c r="I40" s="3" t="inlineStr">
        <is>
          <t>Too low suggests weak defense; too high suggests over-reliance on branded demand. Both spend and sales signals are evaluated.</t>
        </is>
      </c>
      <c r="J40" s="3" t="inlineStr">
        <is>
          <t xml:space="preserve">Revisit Brand keyword coverage - Launch new BAK campaign based on Branded terms + Category </t>
        </is>
      </c>
      <c r="K40" s="3" t="inlineStr">
        <is>
          <t>12_Search_Terms_by_Category (ad_spend col B, ad_sales col D)</t>
        </is>
      </c>
      <c r="L40" s="46">
        <f>VLOOKUP(Table1[[#This Row],[Importance]],'Logic and Calculation'!$H$3:$J$12,3,FALSE)</f>
        <v/>
      </c>
      <c r="M40" s="46" t="n">
        <v>5</v>
      </c>
      <c r="N40" s="46">
        <f>VLOOKUP(Table1[[#This Row],[Importance]],'Logic and Calculation'!$H$3:$J$12,2,FALSE)</f>
        <v/>
      </c>
      <c r="O40" s="15" t="n"/>
      <c r="P40" s="46" t="n"/>
    </row>
    <row r="41" ht="24" customHeight="1" s="41">
      <c r="A41" s="47" t="inlineStr">
        <is>
          <t>Sponsored Brands</t>
        </is>
      </c>
      <c r="B41" s="46" t="inlineStr">
        <is>
          <t>C040</t>
        </is>
      </c>
      <c r="C41" s="46" t="inlineStr">
        <is>
          <t>SB Spend Share</t>
        </is>
      </c>
      <c r="D41" s="18" t="inlineStr">
        <is>
          <t>OK</t>
        </is>
      </c>
      <c r="E41" s="3" t="inlineStr">
        <is>
          <t>Check SB spend share 1–25%.</t>
        </is>
      </c>
      <c r="F41" s="3" t="inlineStr">
        <is>
          <t>Overuse can hurt efficiency; underuse can miss defense.</t>
        </is>
      </c>
      <c r="G41" s="3" t="inlineStr">
        <is>
          <t>FLAG if &lt;1% or &gt;25%.</t>
        </is>
      </c>
      <c r="H41" s="3" t="inlineStr">
        <is>
          <t>Observed: SB spend share={pct}%. Rule: 1–25%. Result: {OK/FLAG}.</t>
        </is>
      </c>
      <c r="I41" s="3" t="inlineStr">
        <is>
          <t>Underuse can miss defense and visibility; overuse can harm efficiency if creative/targeting isn’t tight.</t>
        </is>
      </c>
      <c r="J41" s="3" t="inlineStr">
        <is>
          <t xml:space="preserve">Launch Sponsored Brand Campaigns </t>
        </is>
      </c>
      <c r="K41" s="3" t="inlineStr">
        <is>
          <t>12_Search_Terms_by_Category (SB)</t>
        </is>
      </c>
      <c r="L41" s="46">
        <f>VLOOKUP(Table1[[#This Row],[Importance]],'Logic and Calculation'!$H$3:$J$12,3,FALSE)</f>
        <v/>
      </c>
      <c r="M41" s="46" t="n">
        <v>6</v>
      </c>
      <c r="N41" s="46">
        <f>VLOOKUP(Table1[[#This Row],[Importance]],'Logic and Calculation'!$H$3:$J$12,2,FALSE)</f>
        <v/>
      </c>
      <c r="O41" s="15" t="n"/>
      <c r="P41" s="46" t="n"/>
    </row>
    <row r="42" ht="36" customHeight="1" s="41">
      <c r="A42" s="47" t="inlineStr">
        <is>
          <t>Sponsored Brands</t>
        </is>
      </c>
      <c r="B42" s="46" t="inlineStr">
        <is>
          <t>C041</t>
        </is>
      </c>
      <c r="C42" s="46" t="inlineStr">
        <is>
          <t>SB + SBV Combined Spend Share</t>
        </is>
      </c>
      <c r="D42" s="18" t="inlineStr">
        <is>
          <t>OK</t>
        </is>
      </c>
      <c r="E42" s="3" t="inlineStr">
        <is>
          <t>Check combined SB + SBV spend share against total account spend.</t>
        </is>
      </c>
      <c r="F42" s="3" t="inlineStr">
        <is>
          <t>Combined SB and SBV overuse can inflate ACoS and distort overall channel mix.</t>
        </is>
      </c>
      <c r="G42" s="3" t="inlineStr">
        <is>
          <t>FLAG if combined SB + SBV spend share &gt;40%; PARTIAL if &gt;30%.</t>
        </is>
      </c>
      <c r="H42" s="3" t="inlineStr">
        <is>
          <t>Observed: combined SB + SBV spend share = {pct}%. Rule: ≤30% OK, 30–40% PARTIAL, &gt;40% FLAG.</t>
        </is>
      </c>
      <c r="I42" s="3" t="inlineStr">
        <is>
          <t>High combined upper-funnel spend can hurt efficiency if not supported by strong creative performance and sufficient conversion volume.</t>
        </is>
      </c>
      <c r="J42" s="3" t="inlineStr">
        <is>
          <t xml:space="preserve">Decrease level of spending and impressions from SB and SBV campaigns </t>
        </is>
      </c>
      <c r="K42" s="3" t="inlineStr">
        <is>
          <t>09_Campaigns_Grouped_by_Amazon_ (Spend col H)</t>
        </is>
      </c>
      <c r="L42" s="46">
        <f>VLOOKUP(Table1[[#This Row],[Importance]],'Logic and Calculation'!$H$3:$J$12,3,FALSE)</f>
        <v/>
      </c>
      <c r="M42" s="46" t="n">
        <v>6</v>
      </c>
      <c r="N42" s="46">
        <f>VLOOKUP(Table1[[#This Row],[Importance]],'Logic and Calculation'!$H$3:$J$12,2,FALSE)</f>
        <v/>
      </c>
      <c r="O42" s="15" t="n"/>
      <c r="P42" s="46" t="n"/>
    </row>
    <row r="43" ht="48" customHeight="1" s="41">
      <c r="A43" s="47" t="inlineStr">
        <is>
          <t>Sponsored Brands</t>
        </is>
      </c>
      <c r="B43" s="46" t="inlineStr">
        <is>
          <t>C042</t>
        </is>
      </c>
      <c r="C43" s="46" t="inlineStr">
        <is>
          <t>SBV Spend Share</t>
        </is>
      </c>
      <c r="D43" s="18" t="inlineStr">
        <is>
          <t>OK</t>
        </is>
      </c>
      <c r="E43" s="3" t="inlineStr">
        <is>
          <t>Check SBV spend share &lt;=20%.</t>
        </is>
      </c>
      <c r="F43" s="3" t="inlineStr">
        <is>
          <t>Overuse can increase ACoS.</t>
        </is>
      </c>
      <c r="G43" s="3" t="inlineStr">
        <is>
          <t>FLAG if &gt;20%.</t>
        </is>
      </c>
      <c r="H43" s="3" t="inlineStr">
        <is>
          <t>Observed: SBV spend share={pct}%. Rule: ≤20%. Result: {OK/FLAG}.</t>
        </is>
      </c>
      <c r="I43" s="3" t="inlineStr">
        <is>
          <t>Overuse can inflate ACoS and distort mix efficiency.</t>
        </is>
      </c>
      <c r="J43" s="3" t="inlineStr">
        <is>
          <t xml:space="preserve">Decrease level of spending and impressions from SBV campaigns </t>
        </is>
      </c>
      <c r="K43" s="3" t="inlineStr">
        <is>
          <t>12_Search_Terms_by_Category (SBV)</t>
        </is>
      </c>
      <c r="L43" s="46">
        <f>VLOOKUP(Table1[[#This Row],[Importance]],'Logic and Calculation'!$H$3:$J$12,3,FALSE)</f>
        <v/>
      </c>
      <c r="M43" s="46" t="n">
        <v>5</v>
      </c>
      <c r="N43" s="46">
        <f>VLOOKUP(Table1[[#This Row],[Importance]],'Logic and Calculation'!$H$3:$J$12,2,FALSE)</f>
        <v/>
      </c>
      <c r="O43" s="15" t="n"/>
      <c r="P43" s="46" t="n"/>
    </row>
    <row r="44" ht="36" customHeight="1" s="41">
      <c r="A44" s="47" t="inlineStr">
        <is>
          <t>Sponsored Brands</t>
        </is>
      </c>
      <c r="B44" s="46" t="inlineStr">
        <is>
          <t>C043</t>
        </is>
      </c>
      <c r="C44" s="46" t="inlineStr">
        <is>
          <t>SBTV Spend Share</t>
        </is>
      </c>
      <c r="D44" s="18" t="inlineStr">
        <is>
          <t>OK</t>
        </is>
      </c>
      <c r="E44" s="3" t="inlineStr">
        <is>
          <t>Check SBTV spend share &lt;=5%.</t>
        </is>
      </c>
      <c r="F44" s="3" t="inlineStr">
        <is>
          <t>SBTV can overspend with high ACoS.</t>
        </is>
      </c>
      <c r="G44" s="3" t="inlineStr">
        <is>
          <t>FLAG if SBTV spend share &gt;10%.</t>
        </is>
      </c>
      <c r="H44" s="3" t="inlineStr">
        <is>
          <t>Observed: SBTV spend share={pct}%. Rule: ≤5%. Result: {OK/FLAG}.</t>
        </is>
      </c>
      <c r="I44" s="3" t="inlineStr">
        <is>
          <t>SBTV can overspend quickly; high share is a governance risk if not tightly monitored.</t>
        </is>
      </c>
      <c r="J44" s="3" t="inlineStr">
        <is>
          <t xml:space="preserve">Decrease level of spending and impressions from SBTV campaigns </t>
        </is>
      </c>
      <c r="K44" s="3" t="inlineStr">
        <is>
          <t>12_Search_Terms_by_Category (SBTV)</t>
        </is>
      </c>
      <c r="L44" s="46">
        <f>VLOOKUP(Table1[[#This Row],[Importance]],'Logic and Calculation'!$H$3:$J$12,3,FALSE)</f>
        <v/>
      </c>
      <c r="M44" s="46" t="n">
        <v>7</v>
      </c>
      <c r="N44" s="46">
        <f>VLOOKUP(Table1[[#This Row],[Importance]],'Logic and Calculation'!$H$3:$J$12,2,FALSE)</f>
        <v/>
      </c>
      <c r="O44" s="15" t="n"/>
      <c r="P44" s="46" t="n"/>
    </row>
    <row r="45" ht="41.4" customHeight="1" s="41">
      <c r="A45" s="47" t="inlineStr">
        <is>
          <t>Sponsored Display</t>
        </is>
      </c>
      <c r="B45" s="46" t="inlineStr">
        <is>
          <t>C044</t>
        </is>
      </c>
      <c r="C45" s="46" t="inlineStr">
        <is>
          <t>SD Defensive Coverage</t>
        </is>
      </c>
      <c r="D45" s="18" t="inlineStr">
        <is>
          <t>OK</t>
        </is>
      </c>
      <c r="E45" s="3" t="inlineStr">
        <is>
          <t>Check SD_SPT / Real Estate coverage for top sellers/categories. (Needs to identify if we have SD_Real State)</t>
        </is>
      </c>
      <c r="F45" s="3" t="inlineStr">
        <is>
          <t>Defensive gaps reduce listing protection.</t>
        </is>
      </c>
      <c r="G45" s="3" t="inlineStr">
        <is>
          <t>FLAG if no SD_SPT; PARTIAL if missing per relevant categories.</t>
        </is>
      </c>
      <c r="H45" s="3" t="inlineStr">
        <is>
          <t>Observed: SD_SPT present={YES/NO}; coverage gaps={gap_summary}. Result: {OK/PARTIAL/FLAG}.</t>
        </is>
      </c>
      <c r="I45" s="3" t="inlineStr">
        <is>
          <t>SD defense protects listing real estate; gaps reduce protection against competitor retargeting/conquesting.</t>
        </is>
      </c>
      <c r="J45" s="3" t="inlineStr">
        <is>
          <t xml:space="preserve">Create the SD_SPT on the same structure that we have on SPT campaigns </t>
        </is>
      </c>
      <c r="K45" s="3" t="inlineStr">
        <is>
          <t>SD tabs (TBD)</t>
        </is>
      </c>
      <c r="L45" s="46">
        <f>VLOOKUP(Table1[[#This Row],[Importance]],'Logic and Calculation'!$H$3:$J$12,3,FALSE)</f>
        <v/>
      </c>
      <c r="M45" s="46" t="n">
        <v>7</v>
      </c>
      <c r="N45" s="46">
        <f>VLOOKUP(Table1[[#This Row],[Importance]],'Logic and Calculation'!$H$3:$J$12,2,FALSE)</f>
        <v/>
      </c>
      <c r="O45" s="15" t="n"/>
      <c r="P45" s="46" t="n"/>
    </row>
    <row r="46" ht="48" customHeight="1" s="41">
      <c r="A46" s="47" t="inlineStr">
        <is>
          <t>Sponsored Display</t>
        </is>
      </c>
      <c r="B46" s="46" t="inlineStr">
        <is>
          <t>C045</t>
        </is>
      </c>
      <c r="C46" s="46" t="inlineStr">
        <is>
          <t>SD VCPM Spend Share</t>
        </is>
      </c>
      <c r="D46" s="18" t="inlineStr">
        <is>
          <t>OK</t>
        </is>
      </c>
      <c r="E46" s="3" t="inlineStr">
        <is>
          <t>Check VCPM spend share against total spend.</t>
        </is>
      </c>
      <c r="F46" s="3" t="inlineStr">
        <is>
          <t>Too much VCPM can distort attribution &amp; spend.</t>
        </is>
      </c>
      <c r="G46" s="3" t="inlineStr">
        <is>
          <t>PARTIAL if VCPM spend share 5–10%; FLAG if &gt;10%.</t>
        </is>
      </c>
      <c r="H46" s="3" t="inlineStr">
        <is>
          <t>Observed: SD VCPM spend share={pct}%. Rule: ≤5% OK, 5–10% PARTIAL, &gt;10% FLAG. Result: {OK/PARTIAL/FLAG}.</t>
        </is>
      </c>
      <c r="I46" s="3" t="inlineStr">
        <is>
          <t>Excess VCPM can distort attribution and inflate spend without proportional sales.</t>
        </is>
      </c>
      <c r="J46" s="3" t="inlineStr">
        <is>
          <t xml:space="preserve">Decrease level of spending and impressions from VCPM campaigns </t>
        </is>
      </c>
      <c r="K46" s="3" t="inlineStr">
        <is>
          <t>12_Search_Terms_by_Category (SD)</t>
        </is>
      </c>
      <c r="L46" s="46">
        <f>VLOOKUP(Table1[[#This Row],[Importance]],'Logic and Calculation'!$H$3:$J$12,3,FALSE)</f>
        <v/>
      </c>
      <c r="M46" s="46" t="n">
        <v>6</v>
      </c>
      <c r="N46" s="46">
        <f>VLOOKUP(Table1[[#This Row],[Importance]],'Logic and Calculation'!$H$3:$J$12,2,FALSE)</f>
        <v/>
      </c>
      <c r="O46" s="15" t="n"/>
      <c r="P46" s="46" t="n"/>
    </row>
    <row r="47" ht="24" customHeight="1" s="41">
      <c r="A47" s="47" t="inlineStr">
        <is>
          <t>Sponsored Display</t>
        </is>
      </c>
      <c r="B47" s="46" t="inlineStr">
        <is>
          <t>C046</t>
        </is>
      </c>
      <c r="C47" s="46" t="inlineStr">
        <is>
          <t>SD VCPM Sales Share</t>
        </is>
      </c>
      <c r="D47" s="18" t="inlineStr">
        <is>
          <t>OK</t>
        </is>
      </c>
      <c r="E47" s="3" t="inlineStr">
        <is>
          <t>Check VCPM sales share &lt;=20%.</t>
        </is>
      </c>
      <c r="F47" s="3" t="inlineStr">
        <is>
          <t>Too much VCPM sales skews ad vs total sales view.</t>
        </is>
      </c>
      <c r="G47" s="3" t="inlineStr">
        <is>
          <t>FLAG if &gt;20%.</t>
        </is>
      </c>
      <c r="H47" s="3" t="inlineStr">
        <is>
          <t>Observed: SD VCPM sales share={pct}%. Rule: ≤20%. Result: {OK/FLAG}.</t>
        </is>
      </c>
      <c r="I47" s="3" t="inlineStr">
        <is>
          <t>High VCPM sales share can misrepresent true incremental performance and skew channel interpretation.</t>
        </is>
      </c>
      <c r="J47" s="3" t="inlineStr">
        <is>
          <t xml:space="preserve">Decrease level of spending and impressions from VCPM campaigns </t>
        </is>
      </c>
      <c r="K47" s="3" t="inlineStr">
        <is>
          <t>12_Search_Terms_by_Category (SD)</t>
        </is>
      </c>
      <c r="L47" s="46">
        <f>VLOOKUP(Table1[[#This Row],[Importance]],'Logic and Calculation'!$H$3:$J$12,3,FALSE)</f>
        <v/>
      </c>
      <c r="M47" s="46" t="n">
        <v>6</v>
      </c>
      <c r="N47" s="46">
        <f>VLOOKUP(Table1[[#This Row],[Importance]],'Logic and Calculation'!$H$3:$J$12,2,FALSE)</f>
        <v/>
      </c>
      <c r="O47" s="15" t="n"/>
      <c r="P47" s="46" t="n"/>
    </row>
    <row r="48" ht="36" customHeight="1" s="41">
      <c r="A48" s="47" t="inlineStr">
        <is>
          <t>Account Governance</t>
        </is>
      </c>
      <c r="B48" s="46" t="inlineStr">
        <is>
          <t>C047</t>
        </is>
      </c>
      <c r="C48" s="46" t="inlineStr">
        <is>
          <t>Out of Budget (Consecutive Days)</t>
        </is>
      </c>
      <c r="D48" s="18" t="inlineStr">
        <is>
          <t>OK</t>
        </is>
      </c>
      <c r="E48" s="3" t="inlineStr">
        <is>
          <t>Check if account hits daily budget cap 3 or more distinct days in the last 30 days.</t>
        </is>
      </c>
      <c r="F48" s="3" t="inlineStr">
        <is>
          <t>Caps delivery and distorts conversion signals.</t>
        </is>
      </c>
      <c r="G48" s="3" t="inlineStr">
        <is>
          <t>FLAG if ≥3 distinct OOB days in last 30 days; PARTIAL if 2 days; OK if ≤1 day or no data.</t>
        </is>
      </c>
      <c r="H48" s="3" t="inlineStr">
        <is>
          <t>Observed: {num_oob_days} distinct out-of-budget days in last 30 days. Rule: &lt;2 OK, 2 PARTIAL, ≥3 FLAG.</t>
        </is>
      </c>
      <c r="I48" s="3" t="inlineStr">
        <is>
          <t>Repeated budget caps suppress delivery and distort conversion signals, reducing optimization reliability.</t>
        </is>
      </c>
      <c r="J48" s="3" t="inlineStr">
        <is>
          <t>Revisit level of spending on the current campaigns / Clean Up / Revisit with client Spending Allowence / ACoS target change</t>
        </is>
      </c>
      <c r="K48" s="3" t="inlineStr">
        <is>
          <t>36_Account_Out_of_Budget</t>
        </is>
      </c>
      <c r="L48" s="46">
        <f>VLOOKUP(Table1[[#This Row],[Importance]],'Logic and Calculation'!$H$3:$J$12,3,FALSE)</f>
        <v/>
      </c>
      <c r="M48" s="46" t="n">
        <v>10</v>
      </c>
      <c r="N48" s="46">
        <f>VLOOKUP(Table1[[#This Row],[Importance]],'Logic and Calculation'!$H$3:$J$12,2,FALSE)</f>
        <v/>
      </c>
      <c r="O48" s="15" t="n"/>
      <c r="P48" s="46" t="n"/>
    </row>
    <row r="49" ht="36" customHeight="1" s="41">
      <c r="A49" s="47" t="inlineStr">
        <is>
          <t>Account Governance</t>
        </is>
      </c>
      <c r="B49" s="46" t="inlineStr">
        <is>
          <t>C048</t>
        </is>
      </c>
      <c r="C49" s="46" t="inlineStr">
        <is>
          <t>Cleanup &amp; Relaunch Cadence</t>
        </is>
      </c>
      <c r="D49" s="18" t="inlineStr">
        <is>
          <t>OK</t>
        </is>
      </c>
      <c r="E49" s="3" t="inlineStr">
        <is>
          <t>Check cleanup done each 90 days / quarterly.</t>
        </is>
      </c>
      <c r="F49" s="3" t="inlineStr">
        <is>
          <t>Zombie campaigns dilute spend and reduce learning efficiency.</t>
        </is>
      </c>
      <c r="G49" s="3" t="inlineStr">
        <is>
          <t>Manual check: OK if done in last 90 days; else FLAG.</t>
        </is>
      </c>
      <c r="H49" s="3" t="inlineStr">
        <is>
          <t>Observed: last cleanup date={date}. Rule: within last 90 days. Result: {OK/FLAG}.</t>
        </is>
      </c>
      <c r="I49" s="3" t="inlineStr">
        <is>
          <t>Zombie campaigns dilute spend and learning; regular cleanup maintains structure quality and signal integrity.</t>
        </is>
      </c>
      <c r="J49" s="3" t="inlineStr">
        <is>
          <t xml:space="preserve">Proceed with a Clean up on the account - Relaunch will depend on your Strategy </t>
        </is>
      </c>
      <c r="K49" s="3" t="inlineStr">
        <is>
          <t>Manual / ops log (TBD)</t>
        </is>
      </c>
      <c r="L49" s="46">
        <f>VLOOKUP(Table1[[#This Row],[Importance]],'Logic and Calculation'!$H$3:$J$12,3,FALSE)</f>
        <v/>
      </c>
      <c r="M49" s="46" t="n">
        <v>8</v>
      </c>
      <c r="N49" s="46">
        <f>VLOOKUP(Table1[[#This Row],[Importance]],'Logic and Calculation'!$H$3:$J$12,2,FALSE)</f>
        <v/>
      </c>
      <c r="O49" s="15" t="n"/>
      <c r="P49" s="36" t="n"/>
    </row>
  </sheetData>
  <conditionalFormatting sqref="D2:D49">
    <cfRule type="cellIs" priority="4" operator="equal" dxfId="2" stopIfTrue="1">
      <formula>"OK"</formula>
    </cfRule>
    <cfRule type="cellIs" priority="5" operator="equal" dxfId="1" stopIfTrue="1">
      <formula>"PARTIAL"</formula>
    </cfRule>
    <cfRule type="cellIs" priority="6" operator="equal" dxfId="0" stopIfTrue="1">
      <formula>"FLAG"</formula>
    </cfRule>
  </conditionalFormatting>
  <dataValidations count="1">
    <dataValidation sqref="D2:D49" showDropDown="0" showInputMessage="0" showErrorMessage="0" allowBlank="1" type="list">
      <formula1>"OK,PARTIAL,FLAG"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55"/>
  <sheetViews>
    <sheetView workbookViewId="0">
      <pane ySplit="7" topLeftCell="A8" activePane="bottomLeft" state="frozen"/>
      <selection pane="bottomLeft" activeCell="I23" sqref="I23"/>
    </sheetView>
  </sheetViews>
  <sheetFormatPr baseColWidth="8" defaultRowHeight="14.4"/>
  <cols>
    <col width="12" customWidth="1" style="41" min="1" max="1"/>
    <col width="20" customWidth="1" style="41" min="2" max="2"/>
    <col width="34" customWidth="1" style="41" min="3" max="3"/>
    <col width="10" customWidth="1" style="41" min="4" max="5"/>
    <col width="16" customWidth="1" style="41" min="6" max="6"/>
    <col width="12" customWidth="1" style="41" min="8" max="8"/>
    <col width="22" customWidth="1" style="41" min="9" max="9"/>
    <col width="18" customWidth="1" style="41" min="10" max="10"/>
    <col width="22.21875" customWidth="1" style="41" min="12" max="12"/>
    <col width="15.88671875" customWidth="1" style="41" min="13" max="13"/>
  </cols>
  <sheetData>
    <row r="1">
      <c r="A1" s="2" t="inlineStr">
        <is>
          <t>Control ID</t>
        </is>
      </c>
      <c r="B1" s="2" t="inlineStr">
        <is>
          <t>Block</t>
        </is>
      </c>
      <c r="C1" s="2" t="inlineStr">
        <is>
          <t>Control Name</t>
        </is>
      </c>
      <c r="D1" s="2" t="inlineStr">
        <is>
          <t>STATUS</t>
        </is>
      </c>
      <c r="E1" s="2" t="inlineStr">
        <is>
          <t>Priority</t>
        </is>
      </c>
      <c r="F1" s="2" t="inlineStr">
        <is>
          <t>Penalty Applied</t>
        </is>
      </c>
    </row>
    <row r="2">
      <c r="A2" t="inlineStr">
        <is>
          <t>Start Score</t>
        </is>
      </c>
      <c r="B2" t="n">
        <v>100</v>
      </c>
      <c r="D2" t="inlineStr">
        <is>
          <t>Bands</t>
        </is>
      </c>
      <c r="H2" s="12" t="inlineStr">
        <is>
          <t>Importance</t>
        </is>
      </c>
      <c r="I2" s="12" t="inlineStr">
        <is>
          <t>Priority (Points Lost)</t>
        </is>
      </c>
      <c r="J2" s="12" t="inlineStr">
        <is>
          <t>Impact Magnitude</t>
        </is>
      </c>
      <c r="L2" s="28" t="inlineStr">
        <is>
          <t>Framework Grade</t>
        </is>
      </c>
      <c r="M2" s="28" t="inlineStr">
        <is>
          <t xml:space="preserve">Interpretation </t>
        </is>
      </c>
    </row>
    <row r="3">
      <c r="A3" t="inlineStr">
        <is>
          <t>Total Penalty</t>
        </is>
      </c>
      <c r="B3">
        <f>SUM(F8:F993)</f>
        <v/>
      </c>
      <c r="D3" t="inlineStr">
        <is>
          <t>75–100 = Is Compliant</t>
        </is>
      </c>
      <c r="H3" t="n">
        <v>10</v>
      </c>
      <c r="I3" t="n">
        <v>-18</v>
      </c>
      <c r="J3" t="inlineStr">
        <is>
          <t>Critical</t>
        </is>
      </c>
      <c r="L3" t="inlineStr">
        <is>
          <t>Is Compliant</t>
        </is>
      </c>
      <c r="M3" t="inlineStr">
        <is>
          <t>The account framework is compliant. Core governance controls are correctly configured, enabling stable optimization and scalable performance.</t>
        </is>
      </c>
    </row>
    <row r="4">
      <c r="A4" t="inlineStr">
        <is>
          <t>Final Score</t>
        </is>
      </c>
      <c r="B4">
        <f>B2+B3</f>
        <v/>
      </c>
      <c r="D4" t="inlineStr">
        <is>
          <t>40–&lt;75 = Need Improvement</t>
        </is>
      </c>
      <c r="H4" t="n">
        <v>9</v>
      </c>
      <c r="I4" t="n">
        <v>-15</v>
      </c>
      <c r="J4" t="inlineStr">
        <is>
          <t>High</t>
        </is>
      </c>
      <c r="L4" t="inlineStr">
        <is>
          <t>Need Improvement</t>
        </is>
      </c>
      <c r="M4" t="inlineStr">
        <is>
          <t>Structural deviations were identified that limit full system governance. Remediation is required before scaling.</t>
        </is>
      </c>
    </row>
    <row r="5">
      <c r="A5" t="inlineStr">
        <is>
          <t>Framework Grade</t>
        </is>
      </c>
      <c r="B5">
        <f>IF(B4&gt;=75,"Is Compliant",IF(AND(B4&lt;=74,B4&gt;=40),"Need Improvement","Non-Compliant"))</f>
        <v/>
      </c>
      <c r="D5" t="inlineStr">
        <is>
          <t>&lt;40 = Non-Compliant</t>
        </is>
      </c>
      <c r="H5" t="n">
        <v>8</v>
      </c>
      <c r="I5" t="n">
        <v>-13</v>
      </c>
      <c r="J5" t="inlineStr">
        <is>
          <t>High</t>
        </is>
      </c>
      <c r="L5" t="inlineStr">
        <is>
          <t>Non-Compliant</t>
        </is>
      </c>
      <c r="M5" t="inlineStr">
        <is>
          <t>Critical framework gaps were identified that materially restrict system control and optimization. Immediate remediation is required prior to any scaling activity.</t>
        </is>
      </c>
    </row>
    <row r="6">
      <c r="A6" t="inlineStr">
        <is>
          <t>Partial weighting</t>
        </is>
      </c>
      <c r="B6" t="inlineStr">
        <is>
          <t>PARTIAL uses 50% of Priority</t>
        </is>
      </c>
      <c r="H6" t="n">
        <v>7</v>
      </c>
      <c r="I6" t="n">
        <v>-11</v>
      </c>
      <c r="J6" t="inlineStr">
        <is>
          <t>Medium</t>
        </is>
      </c>
    </row>
    <row r="7">
      <c r="H7" t="n">
        <v>6</v>
      </c>
      <c r="I7" t="n">
        <v>-9</v>
      </c>
      <c r="J7" t="inlineStr">
        <is>
          <t>Medium</t>
        </is>
      </c>
    </row>
    <row r="8">
      <c r="A8">
        <f>Framework_Reference!B2</f>
        <v/>
      </c>
      <c r="B8">
        <f>Framework_Reference!A2</f>
        <v/>
      </c>
      <c r="C8">
        <f>Framework_Reference!C2</f>
        <v/>
      </c>
      <c r="D8">
        <f>Framework_Reference!D2</f>
        <v/>
      </c>
      <c r="E8">
        <f>Framework_Reference!N2</f>
        <v/>
      </c>
      <c r="F8">
        <f>IF(OR(D8="FLAG",D8="SYSTEM ERROR"),E8,IF(D8="PARTIAL",E8*0.5,0))</f>
        <v/>
      </c>
      <c r="H8" t="n">
        <v>5</v>
      </c>
      <c r="I8" t="n">
        <v>-7</v>
      </c>
      <c r="J8" t="inlineStr">
        <is>
          <t>Medium</t>
        </is>
      </c>
    </row>
    <row r="9">
      <c r="A9">
        <f>Framework_Reference!B3</f>
        <v/>
      </c>
      <c r="B9">
        <f>Framework_Reference!A3</f>
        <v/>
      </c>
      <c r="C9">
        <f>Framework_Reference!C3</f>
        <v/>
      </c>
      <c r="D9">
        <f>Framework_Reference!D3</f>
        <v/>
      </c>
      <c r="E9">
        <f>Framework_Reference!N3</f>
        <v/>
      </c>
      <c r="F9">
        <f>IF(OR(D9="FLAG",D9="SYSTEM ERROR"),E9,IF(D9="PARTIAL",E9*0.5,0))</f>
        <v/>
      </c>
      <c r="H9" t="n">
        <v>4</v>
      </c>
      <c r="I9" t="n">
        <v>-5</v>
      </c>
      <c r="J9" t="inlineStr">
        <is>
          <t>Low</t>
        </is>
      </c>
    </row>
    <row r="10">
      <c r="A10">
        <f>Framework_Reference!B4</f>
        <v/>
      </c>
      <c r="B10">
        <f>Framework_Reference!A4</f>
        <v/>
      </c>
      <c r="C10">
        <f>Framework_Reference!C4</f>
        <v/>
      </c>
      <c r="D10">
        <f>Framework_Reference!D4</f>
        <v/>
      </c>
      <c r="E10">
        <f>Framework_Reference!N4</f>
        <v/>
      </c>
      <c r="F10">
        <f>IF(OR(D10="FLAG",D10="SYSTEM ERROR"),E10,IF(D10="PARTIAL",E10*0.5,0))</f>
        <v/>
      </c>
      <c r="H10" t="n">
        <v>3</v>
      </c>
      <c r="I10" t="n">
        <v>-3</v>
      </c>
      <c r="J10" t="inlineStr">
        <is>
          <t>Low</t>
        </is>
      </c>
    </row>
    <row r="11">
      <c r="A11">
        <f>Framework_Reference!B5</f>
        <v/>
      </c>
      <c r="B11">
        <f>Framework_Reference!A5</f>
        <v/>
      </c>
      <c r="C11">
        <f>Framework_Reference!C5</f>
        <v/>
      </c>
      <c r="D11">
        <f>Framework_Reference!D5</f>
        <v/>
      </c>
      <c r="E11">
        <f>Framework_Reference!N5</f>
        <v/>
      </c>
      <c r="F11">
        <f>IF(OR(D11="FLAG",D11="SYSTEM ERROR"),E11,IF(D11="PARTIAL",E11*0.5,0))</f>
        <v/>
      </c>
      <c r="H11" t="n">
        <v>2</v>
      </c>
      <c r="I11" t="n">
        <v>-2</v>
      </c>
      <c r="J11" t="inlineStr">
        <is>
          <t>Visibility</t>
        </is>
      </c>
    </row>
    <row r="12">
      <c r="A12">
        <f>Framework_Reference!B6</f>
        <v/>
      </c>
      <c r="B12">
        <f>Framework_Reference!A6</f>
        <v/>
      </c>
      <c r="C12">
        <f>Framework_Reference!C6</f>
        <v/>
      </c>
      <c r="D12">
        <f>Framework_Reference!D6</f>
        <v/>
      </c>
      <c r="E12">
        <f>Framework_Reference!N6</f>
        <v/>
      </c>
      <c r="F12">
        <f>IF(OR(D12="FLAG",D12="SYSTEM ERROR"),E12,IF(D12="PARTIAL",E12*0.5,0))</f>
        <v/>
      </c>
      <c r="H12" t="n">
        <v>1</v>
      </c>
      <c r="I12" t="n">
        <v>-1</v>
      </c>
      <c r="J12" t="inlineStr">
        <is>
          <t>Visibility</t>
        </is>
      </c>
    </row>
    <row r="13">
      <c r="A13">
        <f>Framework_Reference!B7</f>
        <v/>
      </c>
      <c r="B13">
        <f>Framework_Reference!A7</f>
        <v/>
      </c>
      <c r="C13">
        <f>Framework_Reference!C7</f>
        <v/>
      </c>
      <c r="D13">
        <f>Framework_Reference!D7</f>
        <v/>
      </c>
      <c r="E13">
        <f>Framework_Reference!N7</f>
        <v/>
      </c>
      <c r="F13">
        <f>IF(OR(D13="FLAG",D13="SYSTEM ERROR"),E13,IF(D13="PARTIAL",E13*0.5,0))</f>
        <v/>
      </c>
    </row>
    <row r="14">
      <c r="A14">
        <f>Framework_Reference!B8</f>
        <v/>
      </c>
      <c r="B14">
        <f>Framework_Reference!A8</f>
        <v/>
      </c>
      <c r="C14">
        <f>Framework_Reference!C8</f>
        <v/>
      </c>
      <c r="D14">
        <f>Framework_Reference!D8</f>
        <v/>
      </c>
      <c r="E14">
        <f>Framework_Reference!N8</f>
        <v/>
      </c>
      <c r="F14">
        <f>IF(OR(D14="FLAG",D14="SYSTEM ERROR"),E14,IF(D14="PARTIAL",E14*0.5,0))</f>
        <v/>
      </c>
    </row>
    <row r="15">
      <c r="A15">
        <f>Framework_Reference!B9</f>
        <v/>
      </c>
      <c r="B15">
        <f>Framework_Reference!A9</f>
        <v/>
      </c>
      <c r="C15">
        <f>Framework_Reference!C9</f>
        <v/>
      </c>
      <c r="D15">
        <f>Framework_Reference!D9</f>
        <v/>
      </c>
      <c r="E15">
        <f>Framework_Reference!N9</f>
        <v/>
      </c>
      <c r="F15">
        <f>IF(OR(D15="FLAG",D15="SYSTEM ERROR"),E15,IF(D15="PARTIAL",E15*0.5,0))</f>
        <v/>
      </c>
    </row>
    <row r="16">
      <c r="A16">
        <f>Framework_Reference!B10</f>
        <v/>
      </c>
      <c r="B16">
        <f>Framework_Reference!A10</f>
        <v/>
      </c>
      <c r="C16">
        <f>Framework_Reference!C10</f>
        <v/>
      </c>
      <c r="D16">
        <f>Framework_Reference!D10</f>
        <v/>
      </c>
      <c r="E16">
        <f>Framework_Reference!N10</f>
        <v/>
      </c>
      <c r="F16">
        <f>IF(OR(D16="FLAG",D16="SYSTEM ERROR"),E16,IF(D16="PARTIAL",E16*0.5,0))</f>
        <v/>
      </c>
    </row>
    <row r="17">
      <c r="A17">
        <f>Framework_Reference!B11</f>
        <v/>
      </c>
      <c r="B17">
        <f>Framework_Reference!A11</f>
        <v/>
      </c>
      <c r="C17">
        <f>Framework_Reference!C11</f>
        <v/>
      </c>
      <c r="D17">
        <f>Framework_Reference!D11</f>
        <v/>
      </c>
      <c r="E17">
        <f>Framework_Reference!N11</f>
        <v/>
      </c>
      <c r="F17">
        <f>IF(OR(D17="FLAG",D17="SYSTEM ERROR"),E17,IF(D17="PARTIAL",E17*0.5,0))</f>
        <v/>
      </c>
    </row>
    <row r="18">
      <c r="A18">
        <f>Framework_Reference!B12</f>
        <v/>
      </c>
      <c r="B18">
        <f>Framework_Reference!A12</f>
        <v/>
      </c>
      <c r="C18">
        <f>Framework_Reference!C12</f>
        <v/>
      </c>
      <c r="D18">
        <f>Framework_Reference!D12</f>
        <v/>
      </c>
      <c r="E18">
        <f>Framework_Reference!N12</f>
        <v/>
      </c>
      <c r="F18">
        <f>IF(OR(D18="FLAG",D18="SYSTEM ERROR"),E18,IF(D18="PARTIAL",E18*0.5,0))</f>
        <v/>
      </c>
    </row>
    <row r="19">
      <c r="A19">
        <f>Framework_Reference!B13</f>
        <v/>
      </c>
      <c r="B19">
        <f>Framework_Reference!A13</f>
        <v/>
      </c>
      <c r="C19">
        <f>Framework_Reference!C13</f>
        <v/>
      </c>
      <c r="D19">
        <f>Framework_Reference!D13</f>
        <v/>
      </c>
      <c r="E19">
        <f>Framework_Reference!N13</f>
        <v/>
      </c>
      <c r="F19">
        <f>IF(OR(D19="FLAG",D19="SYSTEM ERROR"),E19,IF(D19="PARTIAL",E19*0.5,0))</f>
        <v/>
      </c>
    </row>
    <row r="20">
      <c r="A20">
        <f>Framework_Reference!B14</f>
        <v/>
      </c>
      <c r="B20">
        <f>Framework_Reference!A14</f>
        <v/>
      </c>
      <c r="C20">
        <f>Framework_Reference!C14</f>
        <v/>
      </c>
      <c r="D20">
        <f>Framework_Reference!D14</f>
        <v/>
      </c>
      <c r="E20">
        <f>Framework_Reference!N14</f>
        <v/>
      </c>
      <c r="F20">
        <f>IF(OR(D20="FLAG",D20="SYSTEM ERROR"),E20,IF(D20="PARTIAL",E20*0.5,0))</f>
        <v/>
      </c>
    </row>
    <row r="21">
      <c r="A21">
        <f>Framework_Reference!B15</f>
        <v/>
      </c>
      <c r="B21">
        <f>Framework_Reference!A15</f>
        <v/>
      </c>
      <c r="C21">
        <f>Framework_Reference!C15</f>
        <v/>
      </c>
      <c r="D21">
        <f>Framework_Reference!D15</f>
        <v/>
      </c>
      <c r="E21">
        <f>Framework_Reference!N15</f>
        <v/>
      </c>
      <c r="F21">
        <f>IF(OR(D21="FLAG",D21="SYSTEM ERROR"),E21,IF(D21="PARTIAL",E21*0.5,0))</f>
        <v/>
      </c>
    </row>
    <row r="22">
      <c r="A22">
        <f>Framework_Reference!B16</f>
        <v/>
      </c>
      <c r="B22">
        <f>Framework_Reference!A16</f>
        <v/>
      </c>
      <c r="C22">
        <f>Framework_Reference!C16</f>
        <v/>
      </c>
      <c r="D22">
        <f>Framework_Reference!D16</f>
        <v/>
      </c>
      <c r="E22">
        <f>Framework_Reference!N16</f>
        <v/>
      </c>
      <c r="F22">
        <f>IF(OR(D22="FLAG",D22="SYSTEM ERROR"),E22,IF(D22="PARTIAL",E22*0.5,0))</f>
        <v/>
      </c>
    </row>
    <row r="23">
      <c r="A23">
        <f>Framework_Reference!B17</f>
        <v/>
      </c>
      <c r="B23">
        <f>Framework_Reference!A17</f>
        <v/>
      </c>
      <c r="C23">
        <f>Framework_Reference!C17</f>
        <v/>
      </c>
      <c r="D23">
        <f>Framework_Reference!D17</f>
        <v/>
      </c>
      <c r="E23">
        <f>Framework_Reference!N17</f>
        <v/>
      </c>
      <c r="F23">
        <f>IF(OR(D23="FLAG",D23="SYSTEM ERROR"),E23,IF(D23="PARTIAL",E23*0.5,0))</f>
        <v/>
      </c>
    </row>
    <row r="24">
      <c r="A24">
        <f>Framework_Reference!B18</f>
        <v/>
      </c>
      <c r="B24">
        <f>Framework_Reference!A18</f>
        <v/>
      </c>
      <c r="C24">
        <f>Framework_Reference!C18</f>
        <v/>
      </c>
      <c r="D24">
        <f>Framework_Reference!D18</f>
        <v/>
      </c>
      <c r="E24">
        <f>Framework_Reference!N18</f>
        <v/>
      </c>
      <c r="F24">
        <f>IF(OR(D24="FLAG",D24="SYSTEM ERROR"),E24,IF(D24="PARTIAL",E24*0.5,0))</f>
        <v/>
      </c>
    </row>
    <row r="25">
      <c r="A25">
        <f>Framework_Reference!B19</f>
        <v/>
      </c>
      <c r="B25">
        <f>Framework_Reference!A19</f>
        <v/>
      </c>
      <c r="C25">
        <f>Framework_Reference!C19</f>
        <v/>
      </c>
      <c r="D25">
        <f>Framework_Reference!D19</f>
        <v/>
      </c>
      <c r="E25">
        <f>Framework_Reference!N19</f>
        <v/>
      </c>
      <c r="F25">
        <f>IF(OR(D25="FLAG",D25="SYSTEM ERROR"),E25,IF(D25="PARTIAL",E25*0.5,0))</f>
        <v/>
      </c>
    </row>
    <row r="26">
      <c r="A26">
        <f>Framework_Reference!B20</f>
        <v/>
      </c>
      <c r="B26">
        <f>Framework_Reference!A20</f>
        <v/>
      </c>
      <c r="C26">
        <f>Framework_Reference!C20</f>
        <v/>
      </c>
      <c r="D26">
        <f>Framework_Reference!D20</f>
        <v/>
      </c>
      <c r="E26">
        <f>Framework_Reference!N20</f>
        <v/>
      </c>
      <c r="F26">
        <f>IF(OR(D26="FLAG",D26="SYSTEM ERROR"),E26,IF(D26="PARTIAL",E26*0.5,0))</f>
        <v/>
      </c>
    </row>
    <row r="27">
      <c r="A27">
        <f>Framework_Reference!B21</f>
        <v/>
      </c>
      <c r="B27">
        <f>Framework_Reference!A21</f>
        <v/>
      </c>
      <c r="C27">
        <f>Framework_Reference!C21</f>
        <v/>
      </c>
      <c r="D27">
        <f>Framework_Reference!D21</f>
        <v/>
      </c>
      <c r="E27">
        <f>Framework_Reference!N21</f>
        <v/>
      </c>
      <c r="F27">
        <f>IF(OR(D27="FLAG",D27="SYSTEM ERROR"),E27,IF(D27="PARTIAL",E27*0.5,0))</f>
        <v/>
      </c>
    </row>
    <row r="28">
      <c r="A28">
        <f>Framework_Reference!B22</f>
        <v/>
      </c>
      <c r="B28">
        <f>Framework_Reference!A22</f>
        <v/>
      </c>
      <c r="C28">
        <f>Framework_Reference!C22</f>
        <v/>
      </c>
      <c r="D28">
        <f>Framework_Reference!D22</f>
        <v/>
      </c>
      <c r="E28">
        <f>Framework_Reference!N22</f>
        <v/>
      </c>
      <c r="F28">
        <f>IF(OR(D28="FLAG",D28="SYSTEM ERROR"),E28,IF(D28="PARTIAL",E28*0.5,0))</f>
        <v/>
      </c>
    </row>
    <row r="29">
      <c r="A29">
        <f>Framework_Reference!B23</f>
        <v/>
      </c>
      <c r="B29">
        <f>Framework_Reference!A23</f>
        <v/>
      </c>
      <c r="C29">
        <f>Framework_Reference!C23</f>
        <v/>
      </c>
      <c r="D29">
        <f>Framework_Reference!D23</f>
        <v/>
      </c>
      <c r="E29">
        <f>Framework_Reference!N23</f>
        <v/>
      </c>
      <c r="F29">
        <f>IF(OR(D29="FLAG",D29="SYSTEM ERROR"),E29,IF(D29="PARTIAL",E29*0.5,0))</f>
        <v/>
      </c>
    </row>
    <row r="30">
      <c r="A30">
        <f>Framework_Reference!B24</f>
        <v/>
      </c>
      <c r="B30">
        <f>Framework_Reference!A24</f>
        <v/>
      </c>
      <c r="C30">
        <f>Framework_Reference!C24</f>
        <v/>
      </c>
      <c r="D30">
        <f>Framework_Reference!D24</f>
        <v/>
      </c>
      <c r="E30">
        <f>Framework_Reference!N24</f>
        <v/>
      </c>
      <c r="F30">
        <f>IF(OR(D30="FLAG",D30="SYSTEM ERROR"),E30,IF(D30="PARTIAL",E30*0.5,0))</f>
        <v/>
      </c>
    </row>
    <row r="31">
      <c r="A31">
        <f>Framework_Reference!B25</f>
        <v/>
      </c>
      <c r="B31">
        <f>Framework_Reference!A25</f>
        <v/>
      </c>
      <c r="C31">
        <f>Framework_Reference!C25</f>
        <v/>
      </c>
      <c r="D31">
        <f>Framework_Reference!D25</f>
        <v/>
      </c>
      <c r="E31">
        <f>Framework_Reference!N25</f>
        <v/>
      </c>
      <c r="F31">
        <f>IF(OR(D31="FLAG",D31="SYSTEM ERROR"),E31,IF(D31="PARTIAL",E31*0.5,0))</f>
        <v/>
      </c>
    </row>
    <row r="32">
      <c r="A32">
        <f>Framework_Reference!B26</f>
        <v/>
      </c>
      <c r="B32">
        <f>Framework_Reference!A26</f>
        <v/>
      </c>
      <c r="C32">
        <f>Framework_Reference!C26</f>
        <v/>
      </c>
      <c r="D32">
        <f>Framework_Reference!D26</f>
        <v/>
      </c>
      <c r="E32">
        <f>Framework_Reference!N26</f>
        <v/>
      </c>
      <c r="F32">
        <f>IF(OR(D32="FLAG",D32="SYSTEM ERROR"),E32,IF(D32="PARTIAL",E32*0.5,0))</f>
        <v/>
      </c>
    </row>
    <row r="33">
      <c r="A33">
        <f>Framework_Reference!B27</f>
        <v/>
      </c>
      <c r="B33">
        <f>Framework_Reference!A27</f>
        <v/>
      </c>
      <c r="C33">
        <f>Framework_Reference!C27</f>
        <v/>
      </c>
      <c r="D33">
        <f>Framework_Reference!D27</f>
        <v/>
      </c>
      <c r="E33">
        <f>Framework_Reference!N27</f>
        <v/>
      </c>
      <c r="F33">
        <f>IF(OR(D33="FLAG",D33="SYSTEM ERROR"),E33,IF(D33="PARTIAL",E33*0.5,0))</f>
        <v/>
      </c>
    </row>
    <row r="34">
      <c r="A34">
        <f>Framework_Reference!B28</f>
        <v/>
      </c>
      <c r="B34">
        <f>Framework_Reference!A28</f>
        <v/>
      </c>
      <c r="C34">
        <f>Framework_Reference!C28</f>
        <v/>
      </c>
      <c r="D34">
        <f>Framework_Reference!D28</f>
        <v/>
      </c>
      <c r="E34">
        <f>Framework_Reference!N28</f>
        <v/>
      </c>
      <c r="F34">
        <f>IF(OR(D34="FLAG",D34="SYSTEM ERROR"),E34,IF(D34="PARTIAL",E34*0.5,0))</f>
        <v/>
      </c>
    </row>
    <row r="35">
      <c r="A35">
        <f>Framework_Reference!B29</f>
        <v/>
      </c>
      <c r="B35">
        <f>Framework_Reference!A29</f>
        <v/>
      </c>
      <c r="C35">
        <f>Framework_Reference!C29</f>
        <v/>
      </c>
      <c r="D35">
        <f>Framework_Reference!D29</f>
        <v/>
      </c>
      <c r="E35">
        <f>Framework_Reference!N29</f>
        <v/>
      </c>
      <c r="F35">
        <f>IF(OR(D35="FLAG",D35="SYSTEM ERROR"),E35,IF(D35="PARTIAL",E35*0.5,0))</f>
        <v/>
      </c>
    </row>
    <row r="36">
      <c r="A36">
        <f>Framework_Reference!B30</f>
        <v/>
      </c>
      <c r="B36">
        <f>Framework_Reference!A30</f>
        <v/>
      </c>
      <c r="C36">
        <f>Framework_Reference!C30</f>
        <v/>
      </c>
      <c r="D36">
        <f>Framework_Reference!D30</f>
        <v/>
      </c>
      <c r="E36">
        <f>Framework_Reference!N30</f>
        <v/>
      </c>
      <c r="F36">
        <f>IF(OR(D36="FLAG",D36="SYSTEM ERROR"),E36,IF(D36="PARTIAL",E36*0.5,0))</f>
        <v/>
      </c>
    </row>
    <row r="37">
      <c r="A37">
        <f>Framework_Reference!B31</f>
        <v/>
      </c>
      <c r="B37">
        <f>Framework_Reference!A31</f>
        <v/>
      </c>
      <c r="C37">
        <f>Framework_Reference!C31</f>
        <v/>
      </c>
      <c r="D37">
        <f>Framework_Reference!D31</f>
        <v/>
      </c>
      <c r="E37">
        <f>Framework_Reference!N31</f>
        <v/>
      </c>
      <c r="F37">
        <f>IF(OR(D37="FLAG",D37="SYSTEM ERROR"),E37,IF(D37="PARTIAL",E37*0.5,0))</f>
        <v/>
      </c>
    </row>
    <row r="38">
      <c r="A38">
        <f>Framework_Reference!B32</f>
        <v/>
      </c>
      <c r="B38">
        <f>Framework_Reference!A32</f>
        <v/>
      </c>
      <c r="C38">
        <f>Framework_Reference!C32</f>
        <v/>
      </c>
      <c r="D38">
        <f>Framework_Reference!D32</f>
        <v/>
      </c>
      <c r="E38">
        <f>Framework_Reference!N32</f>
        <v/>
      </c>
      <c r="F38">
        <f>IF(OR(D38="FLAG",D38="SYSTEM ERROR"),E38,IF(D38="PARTIAL",E38*0.5,0))</f>
        <v/>
      </c>
    </row>
    <row r="39">
      <c r="A39">
        <f>Framework_Reference!B33</f>
        <v/>
      </c>
      <c r="B39">
        <f>Framework_Reference!A33</f>
        <v/>
      </c>
      <c r="C39">
        <f>Framework_Reference!C33</f>
        <v/>
      </c>
      <c r="D39">
        <f>Framework_Reference!D33</f>
        <v/>
      </c>
      <c r="E39">
        <f>Framework_Reference!N33</f>
        <v/>
      </c>
      <c r="F39">
        <f>IF(OR(D39="FLAG",D39="SYSTEM ERROR"),E39,IF(D39="PARTIAL",E39*0.5,0))</f>
        <v/>
      </c>
    </row>
    <row r="40">
      <c r="A40">
        <f>Framework_Reference!B34</f>
        <v/>
      </c>
      <c r="B40">
        <f>Framework_Reference!A34</f>
        <v/>
      </c>
      <c r="C40">
        <f>Framework_Reference!C34</f>
        <v/>
      </c>
      <c r="D40">
        <f>Framework_Reference!D34</f>
        <v/>
      </c>
      <c r="E40">
        <f>Framework_Reference!N34</f>
        <v/>
      </c>
      <c r="F40">
        <f>IF(OR(D40="FLAG",D40="SYSTEM ERROR"),E40,IF(D40="PARTIAL",E40*0.5,0))</f>
        <v/>
      </c>
    </row>
    <row r="41">
      <c r="A41">
        <f>Framework_Reference!B35</f>
        <v/>
      </c>
      <c r="B41">
        <f>Framework_Reference!A35</f>
        <v/>
      </c>
      <c r="C41">
        <f>Framework_Reference!C35</f>
        <v/>
      </c>
      <c r="D41">
        <f>Framework_Reference!D35</f>
        <v/>
      </c>
      <c r="E41">
        <f>Framework_Reference!N35</f>
        <v/>
      </c>
      <c r="F41">
        <f>IF(OR(D41="FLAG",D41="SYSTEM ERROR"),E41,IF(D41="PARTIAL",E41*0.5,0))</f>
        <v/>
      </c>
    </row>
    <row r="42">
      <c r="A42">
        <f>Framework_Reference!B36</f>
        <v/>
      </c>
      <c r="B42">
        <f>Framework_Reference!A36</f>
        <v/>
      </c>
      <c r="C42">
        <f>Framework_Reference!C36</f>
        <v/>
      </c>
      <c r="D42">
        <f>Framework_Reference!D36</f>
        <v/>
      </c>
      <c r="E42">
        <f>Framework_Reference!N36</f>
        <v/>
      </c>
      <c r="F42">
        <f>IF(OR(D42="FLAG",D42="SYSTEM ERROR"),E42,IF(D42="PARTIAL",E42*0.5,0))</f>
        <v/>
      </c>
    </row>
    <row r="43">
      <c r="A43">
        <f>Framework_Reference!B37</f>
        <v/>
      </c>
      <c r="B43">
        <f>Framework_Reference!A37</f>
        <v/>
      </c>
      <c r="C43">
        <f>Framework_Reference!C37</f>
        <v/>
      </c>
      <c r="D43">
        <f>Framework_Reference!D37</f>
        <v/>
      </c>
      <c r="E43">
        <f>Framework_Reference!N37</f>
        <v/>
      </c>
      <c r="F43">
        <f>IF(OR(D43="FLAG",D43="SYSTEM ERROR"),E43,IF(D43="PARTIAL",E43*0.5,0))</f>
        <v/>
      </c>
    </row>
    <row r="44">
      <c r="A44">
        <f>Framework_Reference!B38</f>
        <v/>
      </c>
      <c r="B44">
        <f>Framework_Reference!A38</f>
        <v/>
      </c>
      <c r="C44">
        <f>Framework_Reference!C38</f>
        <v/>
      </c>
      <c r="D44">
        <f>Framework_Reference!D38</f>
        <v/>
      </c>
      <c r="E44">
        <f>Framework_Reference!N38</f>
        <v/>
      </c>
      <c r="F44">
        <f>IF(OR(D44="FLAG",D44="SYSTEM ERROR"),E44,IF(D44="PARTIAL",E44*0.5,0))</f>
        <v/>
      </c>
    </row>
    <row r="45">
      <c r="A45">
        <f>Framework_Reference!B39</f>
        <v/>
      </c>
      <c r="B45">
        <f>Framework_Reference!A39</f>
        <v/>
      </c>
      <c r="C45">
        <f>Framework_Reference!C39</f>
        <v/>
      </c>
      <c r="D45">
        <f>Framework_Reference!D39</f>
        <v/>
      </c>
      <c r="E45">
        <f>Framework_Reference!N39</f>
        <v/>
      </c>
      <c r="F45">
        <f>IF(OR(D45="FLAG",D45="SYSTEM ERROR"),E45,IF(D45="PARTIAL",E45*0.5,0))</f>
        <v/>
      </c>
    </row>
    <row r="46">
      <c r="A46">
        <f>Framework_Reference!B40</f>
        <v/>
      </c>
      <c r="B46">
        <f>Framework_Reference!A40</f>
        <v/>
      </c>
      <c r="C46">
        <f>Framework_Reference!C40</f>
        <v/>
      </c>
      <c r="D46">
        <f>Framework_Reference!D40</f>
        <v/>
      </c>
      <c r="E46">
        <f>Framework_Reference!N40</f>
        <v/>
      </c>
      <c r="F46">
        <f>IF(OR(D46="FLAG",D46="SYSTEM ERROR"),E46,IF(D46="PARTIAL",E46*0.5,0))</f>
        <v/>
      </c>
    </row>
    <row r="47">
      <c r="A47">
        <f>Framework_Reference!B41</f>
        <v/>
      </c>
      <c r="B47">
        <f>Framework_Reference!A41</f>
        <v/>
      </c>
      <c r="C47">
        <f>Framework_Reference!C41</f>
        <v/>
      </c>
      <c r="D47">
        <f>Framework_Reference!D41</f>
        <v/>
      </c>
      <c r="E47">
        <f>Framework_Reference!N41</f>
        <v/>
      </c>
      <c r="F47">
        <f>IF(OR(D47="FLAG",D47="SYSTEM ERROR"),E47,IF(D47="PARTIAL",E47*0.5,0))</f>
        <v/>
      </c>
    </row>
    <row r="48">
      <c r="A48">
        <f>Framework_Reference!B42</f>
        <v/>
      </c>
      <c r="B48">
        <f>Framework_Reference!A42</f>
        <v/>
      </c>
      <c r="C48">
        <f>Framework_Reference!C42</f>
        <v/>
      </c>
      <c r="D48">
        <f>Framework_Reference!D42</f>
        <v/>
      </c>
      <c r="E48">
        <f>Framework_Reference!N42</f>
        <v/>
      </c>
      <c r="F48">
        <f>IF(OR(D48="FLAG",D48="SYSTEM ERROR"),E48,IF(D48="PARTIAL",E48*0.5,0))</f>
        <v/>
      </c>
    </row>
    <row r="49">
      <c r="A49">
        <f>Framework_Reference!B43</f>
        <v/>
      </c>
      <c r="B49">
        <f>Framework_Reference!A43</f>
        <v/>
      </c>
      <c r="C49">
        <f>Framework_Reference!C43</f>
        <v/>
      </c>
      <c r="D49">
        <f>Framework_Reference!D43</f>
        <v/>
      </c>
      <c r="E49">
        <f>Framework_Reference!N43</f>
        <v/>
      </c>
      <c r="F49">
        <f>IF(OR(D49="FLAG",D49="SYSTEM ERROR"),E49,IF(D49="PARTIAL",E49*0.5,0))</f>
        <v/>
      </c>
    </row>
    <row r="50">
      <c r="A50">
        <f>Framework_Reference!B44</f>
        <v/>
      </c>
      <c r="B50">
        <f>Framework_Reference!A44</f>
        <v/>
      </c>
      <c r="C50">
        <f>Framework_Reference!C44</f>
        <v/>
      </c>
      <c r="D50">
        <f>Framework_Reference!D44</f>
        <v/>
      </c>
      <c r="E50">
        <f>Framework_Reference!N44</f>
        <v/>
      </c>
      <c r="F50">
        <f>IF(OR(D50="FLAG",D50="SYSTEM ERROR"),E50,IF(D50="PARTIAL",E50*0.5,0))</f>
        <v/>
      </c>
    </row>
    <row r="51">
      <c r="A51">
        <f>Framework_Reference!B45</f>
        <v/>
      </c>
      <c r="B51">
        <f>Framework_Reference!A45</f>
        <v/>
      </c>
      <c r="C51">
        <f>Framework_Reference!C45</f>
        <v/>
      </c>
      <c r="D51">
        <f>Framework_Reference!D45</f>
        <v/>
      </c>
      <c r="E51">
        <f>Framework_Reference!N45</f>
        <v/>
      </c>
      <c r="F51">
        <f>IF(OR(D51="FLAG",D51="SYSTEM ERROR"),E51,IF(D51="PARTIAL",E51*0.5,0))</f>
        <v/>
      </c>
    </row>
    <row r="52">
      <c r="A52">
        <f>Framework_Reference!B46</f>
        <v/>
      </c>
      <c r="B52">
        <f>Framework_Reference!A46</f>
        <v/>
      </c>
      <c r="C52">
        <f>Framework_Reference!C46</f>
        <v/>
      </c>
      <c r="D52">
        <f>Framework_Reference!D46</f>
        <v/>
      </c>
      <c r="E52">
        <f>Framework_Reference!N46</f>
        <v/>
      </c>
      <c r="F52">
        <f>IF(OR(D52="FLAG",D52="SYSTEM ERROR"),E52,IF(D52="PARTIAL",E52*0.5,0))</f>
        <v/>
      </c>
    </row>
    <row r="53">
      <c r="A53">
        <f>Framework_Reference!B47</f>
        <v/>
      </c>
      <c r="B53">
        <f>Framework_Reference!A47</f>
        <v/>
      </c>
      <c r="C53">
        <f>Framework_Reference!C47</f>
        <v/>
      </c>
      <c r="D53">
        <f>Framework_Reference!D47</f>
        <v/>
      </c>
      <c r="E53">
        <f>Framework_Reference!N47</f>
        <v/>
      </c>
      <c r="F53">
        <f>IF(OR(D53="FLAG",D53="SYSTEM ERROR"),E53,IF(D53="PARTIAL",E53*0.5,0))</f>
        <v/>
      </c>
    </row>
    <row r="54">
      <c r="A54">
        <f>Framework_Reference!B48</f>
        <v/>
      </c>
      <c r="B54">
        <f>Framework_Reference!A48</f>
        <v/>
      </c>
      <c r="C54">
        <f>Framework_Reference!C48</f>
        <v/>
      </c>
      <c r="D54">
        <f>Framework_Reference!D48</f>
        <v/>
      </c>
      <c r="E54">
        <f>Framework_Reference!N48</f>
        <v/>
      </c>
      <c r="F54">
        <f>IF(OR(D54="FLAG",D54="SYSTEM ERROR"),E54,IF(D54="PARTIAL",E54*0.5,0))</f>
        <v/>
      </c>
    </row>
    <row r="55">
      <c r="A55">
        <f>Framework_Reference!B49</f>
        <v/>
      </c>
      <c r="B55">
        <f>Framework_Reference!A49</f>
        <v/>
      </c>
      <c r="C55">
        <f>Framework_Reference!C49</f>
        <v/>
      </c>
      <c r="D55">
        <f>Framework_Reference!D49</f>
        <v/>
      </c>
      <c r="E55">
        <f>Framework_Reference!N49</f>
        <v/>
      </c>
      <c r="F55">
        <f>IF(OR(D55="FLAG",D55="SYSTEM ERROR"),E55,IF(D55="PARTIAL",E55*0.5,0))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2026-02-04T19:33:36Z</dcterms:created>
  <dcterms:modified xmlns:dcterms="http://purl.org/dc/terms/" xmlns:xsi="http://www.w3.org/2001/XMLSchema-instance" xsi:type="dcterms:W3CDTF">2026-07-22T12:33:49Z</dcterms:modified>
  <cp:lastModifiedBy>Guilherme | Quartile</cp:lastModifiedBy>
</cp:coreProperties>
</file>