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COE-FULL-ANALYSIS-main/templates/"/>
    </mc:Choice>
  </mc:AlternateContent>
  <xr:revisionPtr revIDLastSave="320" documentId="11_D7210D98AB9F6511CFA7447711E4920A3EEDBF74" xr6:coauthVersionLast="47" xr6:coauthVersionMax="47" xr10:uidLastSave="{FA07C47B-8010-4A78-B059-954FD318ED3C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9" i="3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/>
  <c r="A16" i="3"/>
  <c r="B16" i="3"/>
  <c r="C16" i="3"/>
  <c r="D16" i="3"/>
  <c r="F16" i="3"/>
  <c r="A17" i="3"/>
  <c r="B17" i="3"/>
  <c r="C17" i="3"/>
  <c r="D17" i="3"/>
  <c r="F17" i="3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/>
  <c r="A45" i="3"/>
  <c r="B45" i="3"/>
  <c r="C45" i="3"/>
  <c r="D45" i="3"/>
  <c r="F45" i="3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/>
  <c r="A55" i="3"/>
  <c r="B55" i="3"/>
  <c r="C55" i="3"/>
  <c r="D55" i="3"/>
  <c r="F55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<sst xmlns="http://schemas.openxmlformats.org/spreadsheetml/2006/main" count="597" uniqueCount="466">
  <si>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</si>
  <si>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</si>
  <si>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</si>
  <si>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</si>
  <si>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</si>
  <si>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</si>
  <si>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</si>
  <si>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</si>
  <si>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</si>
  <si>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</si>
  <si>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</si>
  <si>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</si>
  <si>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</si>
  <si>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</si>
  <si>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</si>
  <si>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</si>
  <si>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</si>
  <si>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</si>
  <si>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</si>
  <si>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</si>
  <si>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</si>
  <si>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</si>
  <si>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</si>
  <si>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</si>
  <si>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</si>
  <si>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</si>
  <si>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</si>
  <si>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</si>
  <si>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</si>
  <si>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</si>
  <si>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</si>
  <si>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</si>
  <si>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</si>
  <si>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</si>
  <si>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</si>
  <si>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</si>
  <si>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</si>
  <si>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</si>
  <si>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</si>
  <si>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</si>
  <si>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</si>
  <si>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</si>
  <si>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</si>
  <si>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</si>
  <si>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</si>
  <si>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</si>
  <si>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</si>
  <si>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</si>
  <si>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</si>
  <si>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</si>
  <si>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</si>
  <si>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</si>
  <si>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</si>
  <si>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</si>
  <si>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</si>
  <si>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</si>
  <si>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</si>
  <si>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</si>
  <si>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</si>
  <si>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</si>
  <si>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</si>
  <si>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</si>
  <si>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</si>
  <si>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</si>
  <si>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</si>
  <si>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</si>
  <si>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</si>
  <si>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</si>
  <si>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</si>
  <si>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</si>
  <si>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</si>
  <si>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</si>
  <si>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</si>
  <si>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</si>
  <si>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</si>
  <si>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</si>
  <si>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</si>
  <si>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</si>
  <si>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</si>
  <si>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</si>
  <si>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</si>
  <si>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</si>
  <si>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</si>
  <si>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</si>
  <si>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</si>
  <si>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</si>
  <si>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</si>
  <si>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</si>
  <si>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</si>
  <si>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</si>
  <si>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</si>
  <si>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</si>
  <si>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</si>
  <si>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</si>
  <si>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</si>
  <si>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</si>
  <si>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</si>
  <si>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</si>
  <si>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</si>
  <si>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</si>
  <si>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</si>
  <si>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</si>
  <si>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</si>
  <si>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</si>
  <si>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</si>
  <si>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</si>
  <si>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</si>
  <si>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</si>
  <si>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</si>
  <si>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</si>
  <si>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</si>
  <si>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</si>
  <si>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</si>
  <si>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</si>
  <si>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</si>
  <si>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</si>
  <si>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</si>
  <si>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</si>
  <si>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</si>
  <si>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</si>
  <si>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</si>
  <si>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</si>
  <si>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</si>
  <si>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</si>
  <si>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</si>
  <si>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</si>
  <si>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</si>
  <si>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</si>
  <si>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</si>
  <si>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</si>
  <si>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</si>
  <si>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</si>
  <si>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</si>
  <si>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</si>
  <si>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</si>
  <si>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</si>
  <si>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</si>
  <si>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</si>
  <si>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</si>
  <si>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</si>
  <si>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</si>
  <si>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</si>
  <si>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</si>
  <si>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</si>
  <si>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</si>
  <si>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</si>
  <si>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</si>
  <si>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</si>
  <si>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</si>
  <si>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</si>
  <si>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</si>
  <si>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</si>
  <si>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</si>
  <si>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</si>
  <si>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</si>
  <si>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</si>
  <si>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</si>
  <si>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</si>
  <si>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</si>
  <si>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</si>
  <si>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</si>
  <si>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</si>
  <si>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</si>
  <si>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</si>
  <si>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</si>
  <si>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</si>
  <si>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</si>
  <si>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</si>
  <si>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</si>
  <si>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</si>
  <si>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</si>
  <si>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</si>
  <si>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</si>
  <si>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</si>
  <si>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</si>
  <si>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</si>
  <si>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</si>
  <si>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</si>
  <si>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</si>
  <si>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</si>
  <si>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</si>
  <si>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</si>
  <si>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</si>
  <si>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</si>
  <si>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</si>
  <si>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</si>
  <si>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</si>
  <si>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</si>
  <si>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</si>
  <si>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</si>
  <si>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</si>
  <si>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</si>
  <si>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</si>
  <si>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</si>
  <si>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</si>
  <si>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</si>
  <si>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</si>
  <si>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</si>
  <si>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</si>
  <si>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</si>
  <si>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</si>
  <si>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</si>
  <si>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</si>
  <si>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</si>
  <si>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</si>
  <si>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</si>
  <si>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</si>
  <si>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</si>
  <si>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</si>
  <si>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</si>
  <si>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</si>
  <si>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</si>
  <si>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</si>
  <si>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</si>
  <si>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</si>
  <si>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</si>
  <si>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</si>
  <si>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</si>
  <si>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</si>
  <si>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</si>
  <si>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</si>
  <si>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</si>
  <si>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</si>
  <si>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</si>
  <si>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</si>
  <si>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</si>
  <si>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</si>
  <si>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</si>
  <si>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</si>
  <si>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</si>
  <si>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</si>
  <si>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</si>
  <si>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</si>
  <si>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</si>
  <si>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</si>
  <si>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</si>
  <si>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</si>
  <si>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</si>
  <si>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</si>
  <si>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</si>
  <si>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</si>
  <si>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</si>
  <si>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</si>
  <si>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</si>
  <si>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</si>
  <si>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</si>
  <si>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</si>
  <si>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</si>
  <si>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</si>
  <si>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</si>
  <si>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</si>
  <si>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</si>
  <si>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</si>
  <si>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</si>
  <si>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</si>
  <si>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</si>
  <si>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</si>
  <si>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</si>
  <si>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</si>
  <si>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</si>
  <si>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</si>
  <si>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</si>
  <si>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</si>
  <si>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</si>
  <si>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</si>
  <si>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</si>
  <si>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</si>
  <si>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</si>
  <si>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</si>
  <si>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</si>
  <si>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</si>
  <si>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</si>
  <si>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</si>
  <si>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</si>
  <si>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</si>
  <si>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</si>
  <si>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</si>
  <si>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</si>
  <si>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</si>
  <si>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</si>
  <si>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</si>
  <si>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</si>
  <si>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</si>
  <si>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</si>
  <si>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</si>
  <si>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</si>
  <si>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</si>
  <si>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</si>
  <si>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</si>
  <si>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</si>
  <si>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</si>
  <si>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</si>
  <si>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</si>
  <si>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</si>
  <si>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</si>
  <si>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</si>
  <si>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</si>
  <si>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</si>
  <si>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</si>
  <si>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</si>
  <si>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</si>
  <si>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</si>
  <si>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</si>
  <si>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</si>
  <si>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</si>
  <si>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</si>
  <si>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</si>
  <si>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</si>
  <si>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</si>
  <si>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</si>
  <si>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</si>
  <si>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</si>
  <si>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</si>
  <si>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</si>
  <si>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</si>
  <si>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</si>
  <si>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</si>
  <si>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</si>
  <si>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</si>
  <si>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</si>
  <si>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</si>
  <si>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</si>
  <si>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</si>
  <si>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</si>
  <si>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</si>
  <si>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</si>
  <si>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</si>
  <si>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</si>
  <si>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</si>
  <si>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</si>
  <si>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</si>
  <si>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</si>
  <si>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</si>
  <si>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</si>
  <si>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</si>
  <si>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</si>
  <si>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</si>
  <si>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</si>
  <si>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</si>
  <si>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</si>
  <si>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</si>
  <si>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</si>
  <si>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</si>
  <si>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</si>
  <si>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</si>
  <si>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</si>
  <si>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</si>
  <si>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</si>
  <si>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</si>
  <si>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</si>
  <si>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</si>
  <si>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</si>
  <si>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</si>
  <si>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</si>
  <si>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</si>
  <si>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</si>
  <si>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</si>
  <si>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</si>
  <si>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</si>
  <si>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</si>
  <si>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</si>
  <si>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</si>
  <si>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</si>
  <si>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</si>
  <si>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</si>
  <si>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</si>
  <si>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</si>
  <si>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</si>
  <si>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</si>
  <si>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</si>
  <si>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</si>
  <si>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</si>
  <si>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</si>
  <si>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</si>
  <si>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</si>
  <si>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</si>
  <si>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</si>
  <si>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</si>
  <si>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</si>
  <si>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</si>
  <si>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</si>
  <si>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</si>
  <si>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</si>
  <si>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</si>
  <si>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</si>
  <si>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</si>
  <si>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</si>
  <si>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</si>
  <si>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</si>
  <si>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</si>
  <si>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</si>
  <si>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</si>
  <si>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</si>
  <si>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</si>
  <si>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</si>
  <si>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</si>
  <si>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</si>
  <si>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</si>
  <si>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</si>
  <si>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</si>
  <si>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</si>
  <si>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</si>
  <si>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</si>
  <si>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</si>
  <si>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</si>
  <si>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</si>
  <si>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</si>
  <si>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</si>
  <si>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</si>
  <si>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</si>
  <si>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</si>
  <si>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</si>
  <si>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</si>
  <si>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</si>
  <si>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</si>
  <si>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</si>
  <si>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</si>
  <si>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</si>
  <si>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</si>
  <si>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</si>
  <si>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</si>
  <si>
    <t>Stop changing the ACoS so much</t>
  </si>
  <si>
    <t xml:space="preserve">Be mindfull on the % changes of your ACoS </t>
  </si>
  <si>
    <t>Disable Quartile Factor</t>
  </si>
  <si>
    <t xml:space="preserve">Disable VAM Baseline </t>
  </si>
  <si>
    <t xml:space="preserve">Remove Negative targets that are not related to Events and Promotions </t>
  </si>
  <si>
    <t>Complete all the tags on the account - Utilize the Tag Maker on Claude or ChatGPT</t>
  </si>
  <si>
    <t xml:space="preserve">Include Brand terms on the Portal </t>
  </si>
  <si>
    <t xml:space="preserve">Include Competitor terms on the Portal </t>
  </si>
  <si>
    <t xml:space="preserve">Revisit campaigns that are not on our Framework </t>
  </si>
  <si>
    <t xml:space="preserve">Disable the Self Service on Settings </t>
  </si>
  <si>
    <t>Return to default values</t>
  </si>
  <si>
    <t>Enable Budget Management Toggle</t>
  </si>
  <si>
    <t>Enable Placement Modifier Toggle</t>
  </si>
  <si>
    <t>Enable Hourly Bidding Toggle</t>
  </si>
  <si>
    <t>Disable Auto Import Campaigns Toggle</t>
  </si>
  <si>
    <t>Disable Stop Audience Auto-Link Toggle</t>
  </si>
  <si>
    <t>Enable B2B Placement Management Toggle</t>
  </si>
  <si>
    <t>Enable Has Display Promote Toggle</t>
  </si>
  <si>
    <t>Enable ChangeSBV Toggle</t>
  </si>
  <si>
    <t>Launch ATM campaings for Best selling items</t>
  </si>
  <si>
    <t xml:space="preserve">Revisit Brand keyword coverage - Launch new BAK campaign based on Branded terms + Category </t>
  </si>
  <si>
    <t xml:space="preserve">Launch Sponsored Brand Campaigns </t>
  </si>
  <si>
    <t>Revisit level of spending on the current campaigns / Clean Up / Revisit with client Spending Allowence / ACoS target change</t>
  </si>
  <si>
    <t xml:space="preserve">Proceed with a Clean up on the account - Relaunch will depend on your Strategy </t>
  </si>
  <si>
    <t xml:space="preserve">Decrease level of spending and impressions from VCPM campaigns </t>
  </si>
  <si>
    <t xml:space="preserve">Decrease level of spending and impressions from SBTV campaigns </t>
  </si>
  <si>
    <t xml:space="preserve">Decrease level of spending and impressions from SBV campaigns </t>
  </si>
  <si>
    <t xml:space="preserve">Decrease level of spending and impressions from SB and SBV campaigns </t>
  </si>
  <si>
    <t xml:space="preserve">Revisit the need for the Product ACoS Customizations </t>
  </si>
  <si>
    <t xml:space="preserve">Revisit the need for the Campaign ACoS Customizations </t>
  </si>
  <si>
    <t>Revisit the need of ATM campaigns for slow movers on the account</t>
  </si>
  <si>
    <t xml:space="preserve">Create the SD_SPT on the same structure that we have on SPT campaigns </t>
  </si>
  <si>
    <t>Revisit RBO configurations - if they are aligned with the client objective</t>
  </si>
  <si>
    <t>OK if &lt;10% missing; PARTIAL if 10%–&lt;25% missing; FLAG if ≥25% missing (based on used tag columns).</t>
  </si>
  <si>
    <t>OK if no active records; FLAG if any active unmanaged ASIN exists (evaluated by end date).</t>
  </si>
  <si>
    <t>OK if no active records; FLAG if any active unmanaged campaign exists (evaluated by end date).</t>
  </si>
  <si>
    <t>FLAG if any managed, non-exempt portfolio has IsDailyVamBaseline enabled. Exempt portfolios: name starts with 'SD QT AMZ' AND contains 'Promo'.</t>
  </si>
  <si>
    <t>FLAG if any managed, non-exempt portfolio has IsTargetACoS enabled. Exempt portfolios: name starts with 'SD QT AMZ' AND contains 'Promo'.</t>
  </si>
  <si>
    <t>FLAG if any managed, non-exempt portfolio has IsBudgetCap enabled. Exempt portfolios: name starts with 'SD QT AMZ' AND contains 'Promo'.</t>
  </si>
  <si>
    <t>FLAG if SBTV spend share &gt;10%.</t>
  </si>
  <si>
    <t>Revisit personalization on the given ASINs XXXXX</t>
  </si>
  <si>
    <t>Revisit personalization on the given Campaigns XXXXX</t>
  </si>
  <si>
    <t>Revisit personalization on the given Portoflios  XXXXX</t>
  </si>
  <si>
    <t>Launch SPT accordingly to our Framework Structure</t>
  </si>
  <si>
    <t>Launch WATM or Catchall accordingly to our Framework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</si>
</sst>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49" totalsRowShown="0" headerRowDxfId="26" dataDxfId="25" tableBorderDxfId="24">
  <autoFilter ref="A1:O49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0"/>
    <tableColumn id="14" xr3:uid="{00000000-0010-0000-0000-00000E000000}" name="What We Saw" dataDxfId="17"/>
    <tableColumn id="13" xr3:uid="{00000000-0010-0000-0000-00000D000000}" name="Why It Matters" dataDxfId="16"/>
    <tableColumn id="15" xr3:uid="{372B1F72-8C81-497F-B421-FA45594BF45B}" name="What You Should Do" dataDxfId="15"/>
    <tableColumn id="8" xr3:uid="{00000000-0010-0000-0000-000008000000}" name="Data Source" dataDxfId="14"/>
    <tableColumn id="9" xr3:uid="{00000000-0010-0000-0000-000009000000}" name="Impact" dataDxfId="13"/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zoomScale="70" zoomScaleNormal="70" workbookViewId="0">
      <pane ySplit="8" topLeftCell="A9" activePane="bottomLeft" state="frozen"/>
      <selection pane="bottomLeft" activeCell="F16" sqref="F16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6" t="s">
        <v>0</v>
      </c>
      <c r="B1" s="37"/>
      <c r="C1" s="37"/>
      <c r="D1" s="37"/>
      <c r="E1" s="37"/>
      <c r="F1" s="37"/>
      <c r="G1" s="37"/>
      <c r="H1" s="24"/>
    </row>
    <row r="2" spans="1:8" x14ac:dyDescent="0.3">
      <c r="A2" s="33" t="s">
        <v>369</v>
      </c>
      <c r="B2" s="24" t="s">
        <v>372</v>
      </c>
      <c r="C2" s="24"/>
      <c r="D2" s="38"/>
      <c r="E2" s="39"/>
      <c r="F2" s="39"/>
      <c r="G2" s="39"/>
      <c r="H2" s="24"/>
    </row>
    <row r="3" spans="1:8" x14ac:dyDescent="0.3">
      <c r="A3" s="32" t="s">
        <v>366</v>
      </c>
      <c r="B3" t="s">
        <v>367</v>
      </c>
      <c r="D3" s="31"/>
      <c r="E3"/>
      <c r="F3"/>
      <c r="H3" s="24"/>
    </row>
    <row r="4" spans="1:8" ht="14.4" customHeight="1" x14ac:dyDescent="0.3">
      <c r="A4" s="33" t="s">
        <v>365</v>
      </c>
      <c r="B4" s="24" t="s">
        <v>368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371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420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9" priority="4" stopIfTrue="1" operator="equal">
      <formula>"OK"</formula>
    </cfRule>
    <cfRule type="cellIs" dxfId="8" priority="5" stopIfTrue="1" operator="equal">
      <formula>"PARTIAL"</formula>
    </cfRule>
    <cfRule type="cellIs" dxfId="7" priority="6" stopIfTrue="1" operator="equal">
      <formula>"FLAG"</formula>
    </cfRule>
  </conditionalFormatting>
  <conditionalFormatting sqref="D7:G7">
    <cfRule type="containsText" dxfId="6" priority="1" operator="containsText" text="Is Compliant">
      <formula>NOT(ISERROR(SEARCH("Is Compliant",D7)))</formula>
    </cfRule>
    <cfRule type="containsText" dxfId="5" priority="2" operator="containsText" text="Need Improvement">
      <formula>NOT(ISERROR(SEARCH("Need Improvement",D7)))</formula>
    </cfRule>
    <cfRule type="containsText" dxfId="4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9"/>
  <sheetViews>
    <sheetView tabSelected="1" topLeftCell="B1" zoomScale="85" zoomScaleNormal="85" workbookViewId="0">
      <pane ySplit="1" topLeftCell="A2" activePane="bottomLeft" state="frozen"/>
      <selection pane="bottomLeft" activeCell="J38" sqref="J38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26.777343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420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</row>
    <row r="2" spans="1:15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421</v>
      </c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</row>
    <row r="3" spans="1:15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378</v>
      </c>
      <c r="H3" s="3" t="s">
        <v>379</v>
      </c>
      <c r="I3" s="3" t="s">
        <v>34</v>
      </c>
      <c r="J3" s="9" t="s">
        <v>421</v>
      </c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</row>
    <row r="4" spans="1:15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422</v>
      </c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</row>
    <row r="5" spans="1:15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423</v>
      </c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</row>
    <row r="6" spans="1:15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424</v>
      </c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</row>
    <row r="7" spans="1:15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 t="s">
        <v>449</v>
      </c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</row>
    <row r="8" spans="1:15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 t="s">
        <v>450</v>
      </c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</row>
    <row r="9" spans="1:15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</row>
    <row r="10" spans="1:15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425</v>
      </c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</row>
    <row r="11" spans="1:15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425</v>
      </c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</row>
    <row r="12" spans="1:15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454</v>
      </c>
      <c r="H12" s="3" t="s">
        <v>105</v>
      </c>
      <c r="I12" s="3" t="s">
        <v>106</v>
      </c>
      <c r="J12" s="3" t="s">
        <v>426</v>
      </c>
      <c r="K12" s="3" t="s">
        <v>107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</row>
    <row r="13" spans="1:15" ht="24" customHeight="1" x14ac:dyDescent="0.3">
      <c r="A13" s="20" t="s">
        <v>100</v>
      </c>
      <c r="B13" s="4" t="s">
        <v>92</v>
      </c>
      <c r="C13" s="4" t="s">
        <v>109</v>
      </c>
      <c r="D13" s="18" t="s">
        <v>22</v>
      </c>
      <c r="E13" s="3" t="s">
        <v>110</v>
      </c>
      <c r="F13" s="3" t="s">
        <v>111</v>
      </c>
      <c r="G13" s="3" t="s">
        <v>112</v>
      </c>
      <c r="H13" s="3" t="s">
        <v>113</v>
      </c>
      <c r="I13" s="3" t="s">
        <v>114</v>
      </c>
      <c r="J13" s="3" t="s">
        <v>427</v>
      </c>
      <c r="K13" s="3" t="s">
        <v>115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</row>
    <row r="14" spans="1:15" ht="24" customHeight="1" x14ac:dyDescent="0.3">
      <c r="A14" s="20" t="s">
        <v>100</v>
      </c>
      <c r="B14" s="4" t="s">
        <v>101</v>
      </c>
      <c r="C14" s="4" t="s">
        <v>117</v>
      </c>
      <c r="D14" s="18" t="s">
        <v>22</v>
      </c>
      <c r="E14" s="3" t="s">
        <v>118</v>
      </c>
      <c r="F14" s="3" t="s">
        <v>119</v>
      </c>
      <c r="G14" s="3" t="s">
        <v>120</v>
      </c>
      <c r="H14" s="3" t="s">
        <v>121</v>
      </c>
      <c r="I14" s="3" t="s">
        <v>122</v>
      </c>
      <c r="J14" s="3" t="s">
        <v>428</v>
      </c>
      <c r="K14" s="3" t="s">
        <v>115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</row>
    <row r="15" spans="1:15" ht="24" customHeight="1" x14ac:dyDescent="0.3">
      <c r="A15" s="20" t="s">
        <v>123</v>
      </c>
      <c r="B15" s="4" t="s">
        <v>108</v>
      </c>
      <c r="C15" s="4" t="s">
        <v>375</v>
      </c>
      <c r="D15" s="18" t="s">
        <v>22</v>
      </c>
      <c r="E15" s="3" t="s">
        <v>125</v>
      </c>
      <c r="F15" s="3" t="s">
        <v>126</v>
      </c>
      <c r="G15" s="3" t="s">
        <v>455</v>
      </c>
      <c r="H15" s="3" t="s">
        <v>127</v>
      </c>
      <c r="I15" s="3" t="s">
        <v>128</v>
      </c>
      <c r="J15" s="3" t="s">
        <v>461</v>
      </c>
      <c r="K15" s="3" t="s">
        <v>129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</row>
    <row r="16" spans="1:15" ht="24" customHeight="1" x14ac:dyDescent="0.3">
      <c r="A16" s="20" t="s">
        <v>123</v>
      </c>
      <c r="B16" s="4" t="s">
        <v>116</v>
      </c>
      <c r="C16" s="4" t="s">
        <v>131</v>
      </c>
      <c r="D16" s="18" t="s">
        <v>22</v>
      </c>
      <c r="E16" s="3" t="s">
        <v>132</v>
      </c>
      <c r="F16" s="3" t="s">
        <v>133</v>
      </c>
      <c r="G16" s="3" t="s">
        <v>134</v>
      </c>
      <c r="H16" s="3" t="s">
        <v>135</v>
      </c>
      <c r="I16" s="3" t="s">
        <v>136</v>
      </c>
      <c r="J16" s="3" t="s">
        <v>461</v>
      </c>
      <c r="K16" s="3" t="s">
        <v>137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</row>
    <row r="17" spans="1:15" ht="36" customHeight="1" x14ac:dyDescent="0.3">
      <c r="A17" s="20" t="s">
        <v>123</v>
      </c>
      <c r="B17" s="4" t="s">
        <v>124</v>
      </c>
      <c r="C17" s="4" t="s">
        <v>139</v>
      </c>
      <c r="D17" s="18" t="s">
        <v>22</v>
      </c>
      <c r="E17" s="3" t="s">
        <v>140</v>
      </c>
      <c r="F17" s="3" t="s">
        <v>141</v>
      </c>
      <c r="G17" s="3" t="s">
        <v>456</v>
      </c>
      <c r="H17" s="3" t="s">
        <v>142</v>
      </c>
      <c r="I17" s="3" t="s">
        <v>143</v>
      </c>
      <c r="J17" s="3" t="s">
        <v>462</v>
      </c>
      <c r="K17" s="3" t="s">
        <v>144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</row>
    <row r="18" spans="1:15" ht="36" customHeight="1" x14ac:dyDescent="0.3">
      <c r="A18" s="20" t="s">
        <v>123</v>
      </c>
      <c r="B18" s="4" t="s">
        <v>130</v>
      </c>
      <c r="C18" s="4" t="s">
        <v>146</v>
      </c>
      <c r="D18" s="18" t="s">
        <v>22</v>
      </c>
      <c r="E18" s="3" t="s">
        <v>147</v>
      </c>
      <c r="F18" s="3" t="s">
        <v>148</v>
      </c>
      <c r="G18" s="3" t="s">
        <v>134</v>
      </c>
      <c r="H18" s="3" t="s">
        <v>149</v>
      </c>
      <c r="I18" s="3" t="s">
        <v>150</v>
      </c>
      <c r="J18" s="3" t="s">
        <v>462</v>
      </c>
      <c r="K18" s="3" t="s">
        <v>151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</row>
    <row r="19" spans="1:15" ht="36" customHeight="1" thickBot="1" x14ac:dyDescent="0.35">
      <c r="A19" s="20" t="s">
        <v>19</v>
      </c>
      <c r="B19" s="4" t="s">
        <v>138</v>
      </c>
      <c r="C19" s="4" t="s">
        <v>153</v>
      </c>
      <c r="D19" s="18" t="s">
        <v>22</v>
      </c>
      <c r="E19" s="6" t="s">
        <v>358</v>
      </c>
      <c r="F19" s="6" t="s">
        <v>359</v>
      </c>
      <c r="G19" s="6" t="s">
        <v>360</v>
      </c>
      <c r="H19" s="6" t="s">
        <v>361</v>
      </c>
      <c r="I19" s="6" t="s">
        <v>335</v>
      </c>
      <c r="J19" s="6" t="s">
        <v>429</v>
      </c>
      <c r="K19" s="6" t="s">
        <v>336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</row>
    <row r="20" spans="1:15" ht="36" customHeight="1" x14ac:dyDescent="0.3">
      <c r="A20" s="20" t="s">
        <v>19</v>
      </c>
      <c r="B20" s="4" t="s">
        <v>145</v>
      </c>
      <c r="C20" s="4" t="s">
        <v>160</v>
      </c>
      <c r="D20" s="18" t="s">
        <v>22</v>
      </c>
      <c r="E20" s="3" t="s">
        <v>154</v>
      </c>
      <c r="F20" s="3" t="s">
        <v>155</v>
      </c>
      <c r="G20" s="3" t="s">
        <v>457</v>
      </c>
      <c r="H20" s="3" t="s">
        <v>156</v>
      </c>
      <c r="I20" s="3" t="s">
        <v>157</v>
      </c>
      <c r="J20" s="3" t="s">
        <v>463</v>
      </c>
      <c r="K20" s="3" t="s">
        <v>158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</row>
    <row r="21" spans="1:15" ht="36" customHeight="1" x14ac:dyDescent="0.3">
      <c r="A21" s="20" t="s">
        <v>19</v>
      </c>
      <c r="B21" s="4" t="s">
        <v>152</v>
      </c>
      <c r="C21" s="4" t="s">
        <v>166</v>
      </c>
      <c r="D21" s="18" t="s">
        <v>22</v>
      </c>
      <c r="E21" s="3" t="s">
        <v>161</v>
      </c>
      <c r="F21" s="3" t="s">
        <v>162</v>
      </c>
      <c r="G21" s="3" t="s">
        <v>458</v>
      </c>
      <c r="H21" s="3" t="s">
        <v>163</v>
      </c>
      <c r="I21" s="3" t="s">
        <v>164</v>
      </c>
      <c r="J21" s="3" t="s">
        <v>463</v>
      </c>
      <c r="K21" s="3" t="s">
        <v>158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</row>
    <row r="22" spans="1:15" ht="36" customHeight="1" x14ac:dyDescent="0.3">
      <c r="A22" s="20" t="s">
        <v>19</v>
      </c>
      <c r="B22" s="4" t="s">
        <v>159</v>
      </c>
      <c r="C22" s="4" t="s">
        <v>172</v>
      </c>
      <c r="D22" s="18" t="s">
        <v>22</v>
      </c>
      <c r="E22" s="3" t="s">
        <v>167</v>
      </c>
      <c r="F22" s="3" t="s">
        <v>168</v>
      </c>
      <c r="G22" s="3" t="s">
        <v>459</v>
      </c>
      <c r="H22" s="3" t="s">
        <v>169</v>
      </c>
      <c r="I22" s="3" t="s">
        <v>170</v>
      </c>
      <c r="J22" s="3" t="s">
        <v>463</v>
      </c>
      <c r="K22" s="3" t="s">
        <v>158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</row>
    <row r="23" spans="1:15" ht="36" customHeight="1" x14ac:dyDescent="0.3">
      <c r="A23" s="20" t="s">
        <v>19</v>
      </c>
      <c r="B23" s="4" t="s">
        <v>165</v>
      </c>
      <c r="C23" s="4" t="s">
        <v>179</v>
      </c>
      <c r="D23" s="18" t="s">
        <v>22</v>
      </c>
      <c r="E23" s="3" t="s">
        <v>173</v>
      </c>
      <c r="F23" s="3" t="s">
        <v>174</v>
      </c>
      <c r="G23" s="3" t="s">
        <v>175</v>
      </c>
      <c r="H23" s="3" t="s">
        <v>176</v>
      </c>
      <c r="I23" s="3" t="s">
        <v>177</v>
      </c>
      <c r="J23" s="9" t="s">
        <v>430</v>
      </c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</row>
    <row r="24" spans="1:15" ht="36" customHeight="1" x14ac:dyDescent="0.3">
      <c r="A24" s="20" t="s">
        <v>19</v>
      </c>
      <c r="B24" s="4" t="s">
        <v>171</v>
      </c>
      <c r="C24" s="4" t="s">
        <v>183</v>
      </c>
      <c r="D24" s="18" t="s">
        <v>22</v>
      </c>
      <c r="E24" s="3" t="s">
        <v>380</v>
      </c>
      <c r="F24" s="3" t="s">
        <v>180</v>
      </c>
      <c r="G24" s="3" t="s">
        <v>381</v>
      </c>
      <c r="H24" s="3" t="s">
        <v>382</v>
      </c>
      <c r="I24" s="3" t="s">
        <v>383</v>
      </c>
      <c r="J24" s="9" t="s">
        <v>431</v>
      </c>
      <c r="K24" s="3" t="s">
        <v>181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</row>
    <row r="25" spans="1:15" ht="60" customHeight="1" x14ac:dyDescent="0.3">
      <c r="A25" s="20" t="s">
        <v>19</v>
      </c>
      <c r="B25" s="4" t="s">
        <v>178</v>
      </c>
      <c r="C25" s="4" t="s">
        <v>187</v>
      </c>
      <c r="D25" s="18" t="s">
        <v>22</v>
      </c>
      <c r="E25" s="3" t="s">
        <v>384</v>
      </c>
      <c r="F25" s="3" t="s">
        <v>184</v>
      </c>
      <c r="G25" s="3" t="s">
        <v>385</v>
      </c>
      <c r="H25" s="3" t="s">
        <v>386</v>
      </c>
      <c r="I25" s="3" t="s">
        <v>387</v>
      </c>
      <c r="J25" s="9" t="s">
        <v>431</v>
      </c>
      <c r="K25" s="3" t="s">
        <v>185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</row>
    <row r="26" spans="1:15" ht="36" customHeight="1" x14ac:dyDescent="0.3">
      <c r="A26" s="20" t="s">
        <v>19</v>
      </c>
      <c r="B26" s="4" t="s">
        <v>182</v>
      </c>
      <c r="C26" s="4" t="s">
        <v>193</v>
      </c>
      <c r="D26" s="18" t="s">
        <v>22</v>
      </c>
      <c r="E26" s="3" t="s">
        <v>188</v>
      </c>
      <c r="F26" s="3" t="s">
        <v>189</v>
      </c>
      <c r="G26" s="3" t="s">
        <v>388</v>
      </c>
      <c r="H26" s="3" t="s">
        <v>389</v>
      </c>
      <c r="I26" s="3" t="s">
        <v>190</v>
      </c>
      <c r="J26" s="9" t="s">
        <v>431</v>
      </c>
      <c r="K26" s="3" t="s">
        <v>191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</row>
    <row r="27" spans="1:15" ht="36" customHeight="1" x14ac:dyDescent="0.3">
      <c r="A27" s="20" t="s">
        <v>19</v>
      </c>
      <c r="B27" s="4" t="s">
        <v>186</v>
      </c>
      <c r="C27" s="4" t="s">
        <v>201</v>
      </c>
      <c r="D27" s="18" t="s">
        <v>22</v>
      </c>
      <c r="E27" s="3" t="s">
        <v>194</v>
      </c>
      <c r="F27" s="3" t="s">
        <v>195</v>
      </c>
      <c r="G27" s="3" t="s">
        <v>196</v>
      </c>
      <c r="H27" s="3" t="s">
        <v>197</v>
      </c>
      <c r="I27" s="3" t="s">
        <v>198</v>
      </c>
      <c r="J27" s="4" t="s">
        <v>432</v>
      </c>
      <c r="K27" s="3" t="s">
        <v>199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</row>
    <row r="28" spans="1:15" ht="36" customHeight="1" x14ac:dyDescent="0.3">
      <c r="A28" s="20" t="s">
        <v>19</v>
      </c>
      <c r="B28" s="4" t="s">
        <v>192</v>
      </c>
      <c r="C28" s="4" t="s">
        <v>208</v>
      </c>
      <c r="D28" s="18" t="s">
        <v>22</v>
      </c>
      <c r="E28" s="3" t="s">
        <v>202</v>
      </c>
      <c r="F28" s="3" t="s">
        <v>203</v>
      </c>
      <c r="G28" s="3" t="s">
        <v>196</v>
      </c>
      <c r="H28" s="3" t="s">
        <v>204</v>
      </c>
      <c r="I28" s="3" t="s">
        <v>205</v>
      </c>
      <c r="J28" s="4" t="s">
        <v>433</v>
      </c>
      <c r="K28" s="3" t="s">
        <v>206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</row>
    <row r="29" spans="1:15" ht="36" customHeight="1" x14ac:dyDescent="0.3">
      <c r="A29" s="20" t="s">
        <v>19</v>
      </c>
      <c r="B29" s="4" t="s">
        <v>200</v>
      </c>
      <c r="C29" s="4" t="s">
        <v>215</v>
      </c>
      <c r="D29" s="18" t="s">
        <v>22</v>
      </c>
      <c r="E29" s="3" t="s">
        <v>209</v>
      </c>
      <c r="F29" s="3" t="s">
        <v>210</v>
      </c>
      <c r="G29" s="3" t="s">
        <v>196</v>
      </c>
      <c r="H29" s="3" t="s">
        <v>211</v>
      </c>
      <c r="I29" s="3" t="s">
        <v>212</v>
      </c>
      <c r="J29" s="4" t="s">
        <v>434</v>
      </c>
      <c r="K29" s="3" t="s">
        <v>213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</row>
    <row r="30" spans="1:15" ht="24" customHeight="1" x14ac:dyDescent="0.3">
      <c r="A30" s="20" t="s">
        <v>19</v>
      </c>
      <c r="B30" s="4" t="s">
        <v>207</v>
      </c>
      <c r="C30" s="4" t="s">
        <v>223</v>
      </c>
      <c r="D30" s="18" t="s">
        <v>22</v>
      </c>
      <c r="E30" s="3" t="s">
        <v>216</v>
      </c>
      <c r="F30" s="3" t="s">
        <v>217</v>
      </c>
      <c r="G30" s="3" t="s">
        <v>218</v>
      </c>
      <c r="H30" s="3" t="s">
        <v>219</v>
      </c>
      <c r="I30" s="3" t="s">
        <v>220</v>
      </c>
      <c r="J30" s="3" t="s">
        <v>435</v>
      </c>
      <c r="K30" s="3" t="s">
        <v>221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</row>
    <row r="31" spans="1:15" ht="108" customHeight="1" x14ac:dyDescent="0.3">
      <c r="A31" s="20" t="s">
        <v>19</v>
      </c>
      <c r="B31" s="4" t="s">
        <v>214</v>
      </c>
      <c r="C31" s="4" t="s">
        <v>232</v>
      </c>
      <c r="D31" s="18" t="s">
        <v>22</v>
      </c>
      <c r="E31" s="3" t="s">
        <v>314</v>
      </c>
      <c r="F31" s="3" t="s">
        <v>315</v>
      </c>
      <c r="G31" s="3" t="s">
        <v>218</v>
      </c>
      <c r="H31" s="3" t="s">
        <v>316</v>
      </c>
      <c r="I31" s="3" t="s">
        <v>317</v>
      </c>
      <c r="J31" s="4" t="s">
        <v>436</v>
      </c>
      <c r="K31" s="3" t="s">
        <v>318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</row>
    <row r="32" spans="1:15" ht="60" customHeight="1" x14ac:dyDescent="0.3">
      <c r="A32" s="20" t="s">
        <v>19</v>
      </c>
      <c r="B32" s="4" t="s">
        <v>222</v>
      </c>
      <c r="C32" s="4" t="s">
        <v>239</v>
      </c>
      <c r="D32" s="18" t="s">
        <v>22</v>
      </c>
      <c r="E32" s="3" t="s">
        <v>320</v>
      </c>
      <c r="F32" s="3" t="s">
        <v>321</v>
      </c>
      <c r="G32" s="3" t="s">
        <v>196</v>
      </c>
      <c r="H32" s="3" t="s">
        <v>322</v>
      </c>
      <c r="I32" s="3" t="s">
        <v>323</v>
      </c>
      <c r="J32" s="4" t="s">
        <v>437</v>
      </c>
      <c r="K32" s="3" t="s">
        <v>324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</row>
    <row r="33" spans="1:15" ht="48" customHeight="1" x14ac:dyDescent="0.3">
      <c r="A33" s="20" t="s">
        <v>19</v>
      </c>
      <c r="B33" s="4" t="s">
        <v>231</v>
      </c>
      <c r="C33" s="4" t="s">
        <v>247</v>
      </c>
      <c r="D33" s="18" t="s">
        <v>22</v>
      </c>
      <c r="E33" s="3" t="s">
        <v>325</v>
      </c>
      <c r="F33" s="3" t="s">
        <v>326</v>
      </c>
      <c r="G33" s="3" t="s">
        <v>196</v>
      </c>
      <c r="H33" s="3" t="s">
        <v>327</v>
      </c>
      <c r="I33" s="3" t="s">
        <v>328</v>
      </c>
      <c r="J33" s="4" t="s">
        <v>438</v>
      </c>
      <c r="K33" s="3" t="s">
        <v>329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</row>
    <row r="34" spans="1:15" ht="36" customHeight="1" x14ac:dyDescent="0.3">
      <c r="A34" s="20" t="s">
        <v>19</v>
      </c>
      <c r="B34" s="4" t="s">
        <v>238</v>
      </c>
      <c r="C34" s="4" t="s">
        <v>250</v>
      </c>
      <c r="D34" s="18" t="s">
        <v>22</v>
      </c>
      <c r="E34" s="3" t="s">
        <v>330</v>
      </c>
      <c r="F34" s="3" t="s">
        <v>331</v>
      </c>
      <c r="G34" s="3" t="s">
        <v>196</v>
      </c>
      <c r="H34" s="3" t="s">
        <v>332</v>
      </c>
      <c r="I34" s="3" t="s">
        <v>333</v>
      </c>
      <c r="J34" s="4" t="s">
        <v>439</v>
      </c>
      <c r="K34" s="3" t="s">
        <v>334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</row>
    <row r="35" spans="1:15" ht="36" customHeight="1" x14ac:dyDescent="0.3">
      <c r="A35" s="20" t="s">
        <v>363</v>
      </c>
      <c r="B35" s="4" t="s">
        <v>246</v>
      </c>
      <c r="C35" s="4" t="s">
        <v>252</v>
      </c>
      <c r="D35" s="18" t="s">
        <v>22</v>
      </c>
      <c r="E35" s="3" t="s">
        <v>224</v>
      </c>
      <c r="F35" s="3" t="s">
        <v>225</v>
      </c>
      <c r="G35" s="3" t="s">
        <v>226</v>
      </c>
      <c r="H35" s="3" t="s">
        <v>227</v>
      </c>
      <c r="I35" s="3" t="s">
        <v>228</v>
      </c>
      <c r="J35" s="3" t="s">
        <v>453</v>
      </c>
      <c r="K35" s="3" t="s">
        <v>229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</row>
    <row r="36" spans="1:15" ht="36" customHeight="1" x14ac:dyDescent="0.3">
      <c r="A36" s="20" t="s">
        <v>230</v>
      </c>
      <c r="B36" s="4" t="s">
        <v>249</v>
      </c>
      <c r="C36" s="4" t="s">
        <v>256</v>
      </c>
      <c r="D36" s="18" t="s">
        <v>22</v>
      </c>
      <c r="E36" s="3" t="s">
        <v>373</v>
      </c>
      <c r="F36" s="3" t="s">
        <v>233</v>
      </c>
      <c r="G36" s="3" t="s">
        <v>234</v>
      </c>
      <c r="H36" s="3" t="s">
        <v>235</v>
      </c>
      <c r="I36" s="3" t="s">
        <v>236</v>
      </c>
      <c r="J36" s="3" t="s">
        <v>464</v>
      </c>
      <c r="K36" s="3" t="s">
        <v>237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</row>
    <row r="37" spans="1:15" ht="48" customHeight="1" x14ac:dyDescent="0.3">
      <c r="A37" s="20" t="s">
        <v>230</v>
      </c>
      <c r="B37" s="4" t="s">
        <v>251</v>
      </c>
      <c r="C37" s="4" t="s">
        <v>264</v>
      </c>
      <c r="D37" s="18" t="s">
        <v>22</v>
      </c>
      <c r="E37" s="3" t="s">
        <v>240</v>
      </c>
      <c r="F37" s="3" t="s">
        <v>241</v>
      </c>
      <c r="G37" s="3" t="s">
        <v>242</v>
      </c>
      <c r="H37" s="3" t="s">
        <v>243</v>
      </c>
      <c r="I37" s="3" t="s">
        <v>244</v>
      </c>
      <c r="J37" s="3" t="s">
        <v>465</v>
      </c>
      <c r="K37" s="3" t="s">
        <v>245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</row>
    <row r="38" spans="1:15" ht="36" customHeight="1" x14ac:dyDescent="0.3">
      <c r="A38" s="20" t="s">
        <v>230</v>
      </c>
      <c r="B38" s="4" t="s">
        <v>255</v>
      </c>
      <c r="C38" s="4" t="s">
        <v>266</v>
      </c>
      <c r="D38" s="18" t="s">
        <v>22</v>
      </c>
      <c r="E38" s="3" t="s">
        <v>390</v>
      </c>
      <c r="F38" s="3" t="s">
        <v>248</v>
      </c>
      <c r="G38" s="3" t="s">
        <v>391</v>
      </c>
      <c r="H38" s="3" t="s">
        <v>392</v>
      </c>
      <c r="I38" s="3" t="s">
        <v>393</v>
      </c>
      <c r="J38" s="3" t="s">
        <v>440</v>
      </c>
      <c r="K38" s="3" t="s">
        <v>394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</row>
    <row r="39" spans="1:15" ht="36" customHeight="1" x14ac:dyDescent="0.3">
      <c r="A39" s="20" t="s">
        <v>230</v>
      </c>
      <c r="B39" s="4" t="s">
        <v>263</v>
      </c>
      <c r="C39" s="4" t="s">
        <v>376</v>
      </c>
      <c r="D39" s="18" t="s">
        <v>22</v>
      </c>
      <c r="E39" s="3" t="s">
        <v>395</v>
      </c>
      <c r="F39" s="3" t="s">
        <v>396</v>
      </c>
      <c r="G39" s="3" t="s">
        <v>397</v>
      </c>
      <c r="H39" s="3" t="s">
        <v>398</v>
      </c>
      <c r="I39" s="3" t="s">
        <v>399</v>
      </c>
      <c r="J39" s="3" t="s">
        <v>451</v>
      </c>
      <c r="K39" s="3" t="s">
        <v>400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</row>
    <row r="40" spans="1:15" ht="85.8" customHeight="1" x14ac:dyDescent="0.3">
      <c r="A40" s="20" t="s">
        <v>230</v>
      </c>
      <c r="B40" s="4" t="s">
        <v>265</v>
      </c>
      <c r="C40" s="4" t="s">
        <v>364</v>
      </c>
      <c r="D40" s="18" t="s">
        <v>22</v>
      </c>
      <c r="E40" s="3" t="s">
        <v>401</v>
      </c>
      <c r="F40" s="3" t="s">
        <v>253</v>
      </c>
      <c r="G40" s="3" t="s">
        <v>402</v>
      </c>
      <c r="H40" s="3" t="s">
        <v>403</v>
      </c>
      <c r="I40" s="3" t="s">
        <v>404</v>
      </c>
      <c r="J40" s="3" t="s">
        <v>441</v>
      </c>
      <c r="K40" s="3" t="s">
        <v>405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</row>
    <row r="41" spans="1:15" ht="24" customHeight="1" x14ac:dyDescent="0.3">
      <c r="A41" s="20" t="s">
        <v>254</v>
      </c>
      <c r="B41" s="4" t="s">
        <v>267</v>
      </c>
      <c r="C41" s="4" t="s">
        <v>282</v>
      </c>
      <c r="D41" s="18" t="s">
        <v>22</v>
      </c>
      <c r="E41" s="3" t="s">
        <v>257</v>
      </c>
      <c r="F41" s="3" t="s">
        <v>258</v>
      </c>
      <c r="G41" s="3" t="s">
        <v>259</v>
      </c>
      <c r="H41" s="3" t="s">
        <v>260</v>
      </c>
      <c r="I41" s="3" t="s">
        <v>261</v>
      </c>
      <c r="J41" s="3" t="s">
        <v>442</v>
      </c>
      <c r="K41" s="3" t="s">
        <v>262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</row>
    <row r="42" spans="1:15" ht="36" customHeight="1" x14ac:dyDescent="0.3">
      <c r="A42" s="20" t="s">
        <v>254</v>
      </c>
      <c r="B42" s="4" t="s">
        <v>274</v>
      </c>
      <c r="C42" s="4" t="s">
        <v>377</v>
      </c>
      <c r="D42" s="18" t="s">
        <v>22</v>
      </c>
      <c r="E42" s="3" t="s">
        <v>406</v>
      </c>
      <c r="F42" s="3" t="s">
        <v>407</v>
      </c>
      <c r="G42" s="3" t="s">
        <v>408</v>
      </c>
      <c r="H42" s="3" t="s">
        <v>409</v>
      </c>
      <c r="I42" s="3" t="s">
        <v>410</v>
      </c>
      <c r="J42" s="3" t="s">
        <v>448</v>
      </c>
      <c r="K42" s="3" t="s">
        <v>411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</row>
    <row r="43" spans="1:15" ht="48" customHeight="1" x14ac:dyDescent="0.3">
      <c r="A43" s="20" t="s">
        <v>254</v>
      </c>
      <c r="B43" s="4" t="s">
        <v>281</v>
      </c>
      <c r="C43" s="4" t="s">
        <v>298</v>
      </c>
      <c r="D43" s="18" t="s">
        <v>22</v>
      </c>
      <c r="E43" s="3" t="s">
        <v>268</v>
      </c>
      <c r="F43" s="3" t="s">
        <v>269</v>
      </c>
      <c r="G43" s="3" t="s">
        <v>270</v>
      </c>
      <c r="H43" s="3" t="s">
        <v>271</v>
      </c>
      <c r="I43" s="3" t="s">
        <v>272</v>
      </c>
      <c r="J43" s="3" t="s">
        <v>447</v>
      </c>
      <c r="K43" s="3" t="s">
        <v>273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</row>
    <row r="44" spans="1:15" ht="36" customHeight="1" x14ac:dyDescent="0.3">
      <c r="A44" s="20" t="s">
        <v>254</v>
      </c>
      <c r="B44" s="4" t="s">
        <v>288</v>
      </c>
      <c r="C44" s="4" t="s">
        <v>300</v>
      </c>
      <c r="D44" s="18" t="s">
        <v>22</v>
      </c>
      <c r="E44" s="3" t="s">
        <v>275</v>
      </c>
      <c r="F44" s="3" t="s">
        <v>276</v>
      </c>
      <c r="G44" s="3" t="s">
        <v>460</v>
      </c>
      <c r="H44" s="3" t="s">
        <v>277</v>
      </c>
      <c r="I44" s="3" t="s">
        <v>278</v>
      </c>
      <c r="J44" s="3" t="s">
        <v>446</v>
      </c>
      <c r="K44" s="3" t="s">
        <v>279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</row>
    <row r="45" spans="1:15" ht="41.4" customHeight="1" x14ac:dyDescent="0.3">
      <c r="A45" s="20" t="s">
        <v>280</v>
      </c>
      <c r="B45" s="4" t="s">
        <v>292</v>
      </c>
      <c r="C45" s="4" t="s">
        <v>303</v>
      </c>
      <c r="D45" s="18" t="s">
        <v>22</v>
      </c>
      <c r="E45" s="3" t="s">
        <v>374</v>
      </c>
      <c r="F45" s="3" t="s">
        <v>283</v>
      </c>
      <c r="G45" s="3" t="s">
        <v>284</v>
      </c>
      <c r="H45" s="3" t="s">
        <v>285</v>
      </c>
      <c r="I45" s="3" t="s">
        <v>286</v>
      </c>
      <c r="J45" s="3" t="s">
        <v>452</v>
      </c>
      <c r="K45" s="3" t="s">
        <v>287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</row>
    <row r="46" spans="1:15" ht="48" customHeight="1" x14ac:dyDescent="0.3">
      <c r="A46" s="20" t="s">
        <v>280</v>
      </c>
      <c r="B46" s="4" t="s">
        <v>297</v>
      </c>
      <c r="C46" s="4" t="s">
        <v>311</v>
      </c>
      <c r="D46" s="18" t="s">
        <v>22</v>
      </c>
      <c r="E46" s="3" t="s">
        <v>412</v>
      </c>
      <c r="F46" s="3" t="s">
        <v>289</v>
      </c>
      <c r="G46" s="3" t="s">
        <v>413</v>
      </c>
      <c r="H46" s="3" t="s">
        <v>414</v>
      </c>
      <c r="I46" s="3" t="s">
        <v>290</v>
      </c>
      <c r="J46" s="3" t="s">
        <v>445</v>
      </c>
      <c r="K46" s="3" t="s">
        <v>291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</row>
    <row r="47" spans="1:15" ht="24" customHeight="1" x14ac:dyDescent="0.3">
      <c r="A47" s="20" t="s">
        <v>280</v>
      </c>
      <c r="B47" s="4" t="s">
        <v>299</v>
      </c>
      <c r="C47" s="4" t="s">
        <v>312</v>
      </c>
      <c r="D47" s="18" t="s">
        <v>22</v>
      </c>
      <c r="E47" s="3" t="s">
        <v>293</v>
      </c>
      <c r="F47" s="3" t="s">
        <v>294</v>
      </c>
      <c r="G47" s="3" t="s">
        <v>270</v>
      </c>
      <c r="H47" s="3" t="s">
        <v>295</v>
      </c>
      <c r="I47" s="3" t="s">
        <v>296</v>
      </c>
      <c r="J47" s="3" t="s">
        <v>445</v>
      </c>
      <c r="K47" s="3" t="s">
        <v>291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</row>
    <row r="48" spans="1:15" ht="36" customHeight="1" x14ac:dyDescent="0.3">
      <c r="A48" s="20" t="s">
        <v>19</v>
      </c>
      <c r="B48" s="4" t="s">
        <v>302</v>
      </c>
      <c r="C48" s="4" t="s">
        <v>313</v>
      </c>
      <c r="D48" s="18" t="s">
        <v>22</v>
      </c>
      <c r="E48" s="3" t="s">
        <v>415</v>
      </c>
      <c r="F48" s="3" t="s">
        <v>301</v>
      </c>
      <c r="G48" s="3" t="s">
        <v>416</v>
      </c>
      <c r="H48" s="3" t="s">
        <v>417</v>
      </c>
      <c r="I48" s="3" t="s">
        <v>418</v>
      </c>
      <c r="J48" s="3" t="s">
        <v>443</v>
      </c>
      <c r="K48" s="3" t="s">
        <v>419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</row>
    <row r="49" spans="1:15" ht="36" customHeight="1" x14ac:dyDescent="0.3">
      <c r="A49" s="20" t="s">
        <v>19</v>
      </c>
      <c r="B49" s="4" t="s">
        <v>310</v>
      </c>
      <c r="C49" s="4" t="s">
        <v>319</v>
      </c>
      <c r="D49" s="18" t="s">
        <v>22</v>
      </c>
      <c r="E49" s="3" t="s">
        <v>304</v>
      </c>
      <c r="F49" s="3" t="s">
        <v>305</v>
      </c>
      <c r="G49" s="3" t="s">
        <v>306</v>
      </c>
      <c r="H49" s="3" t="s">
        <v>307</v>
      </c>
      <c r="I49" s="3" t="s">
        <v>308</v>
      </c>
      <c r="J49" s="3" t="s">
        <v>444</v>
      </c>
      <c r="K49" s="3" t="s">
        <v>309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</row>
  </sheetData>
  <phoneticPr fontId="10" type="noConversion"/>
  <conditionalFormatting sqref="D2:D49">
    <cfRule type="cellIs" dxfId="3" priority="4" stopIfTrue="1" operator="equal">
      <formula>"OK"</formula>
    </cfRule>
    <cfRule type="cellIs" dxfId="2" priority="5" stopIfTrue="1" operator="equal">
      <formula>"PARTIAL"</formula>
    </cfRule>
    <cfRule type="cellIs" dxfId="1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337</v>
      </c>
    </row>
    <row r="2" spans="1:13" x14ac:dyDescent="0.3">
      <c r="A2" t="s">
        <v>338</v>
      </c>
      <c r="B2">
        <v>100</v>
      </c>
      <c r="D2" t="s">
        <v>339</v>
      </c>
      <c r="H2" s="12" t="s">
        <v>16</v>
      </c>
      <c r="I2" s="12" t="s">
        <v>340</v>
      </c>
      <c r="J2" s="12" t="s">
        <v>341</v>
      </c>
      <c r="L2" s="28" t="s">
        <v>1</v>
      </c>
      <c r="M2" s="28" t="s">
        <v>342</v>
      </c>
    </row>
    <row r="3" spans="1:13" x14ac:dyDescent="0.3">
      <c r="A3" t="s">
        <v>343</v>
      </c>
      <c r="B3">
        <f>SUM(F8:F993)</f>
        <v>0</v>
      </c>
      <c r="D3" t="s">
        <v>370</v>
      </c>
      <c r="H3">
        <v>10</v>
      </c>
      <c r="I3">
        <v>-18</v>
      </c>
      <c r="J3" t="s">
        <v>344</v>
      </c>
      <c r="L3" t="s">
        <v>362</v>
      </c>
      <c r="M3" t="s">
        <v>345</v>
      </c>
    </row>
    <row r="4" spans="1:13" x14ac:dyDescent="0.3">
      <c r="A4" t="s">
        <v>346</v>
      </c>
      <c r="B4">
        <f>B2+B3</f>
        <v>100</v>
      </c>
      <c r="D4" t="s">
        <v>347</v>
      </c>
      <c r="H4">
        <v>9</v>
      </c>
      <c r="I4">
        <v>-15</v>
      </c>
      <c r="J4" t="s">
        <v>348</v>
      </c>
      <c r="L4" t="s">
        <v>349</v>
      </c>
      <c r="M4" t="s">
        <v>350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351</v>
      </c>
      <c r="H5">
        <v>8</v>
      </c>
      <c r="I5">
        <v>-13</v>
      </c>
      <c r="J5" t="s">
        <v>348</v>
      </c>
      <c r="L5" t="s">
        <v>352</v>
      </c>
      <c r="M5" t="s">
        <v>353</v>
      </c>
    </row>
    <row r="6" spans="1:13" x14ac:dyDescent="0.3">
      <c r="A6" t="s">
        <v>354</v>
      </c>
      <c r="B6" t="s">
        <v>355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356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356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357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357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2026-06-15T15:10:17Z</dcterms:modified>
</cp:coreProperties>
</file>