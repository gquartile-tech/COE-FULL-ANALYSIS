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7720" yWindow="0" windowWidth="29040" windowHeight="15720" tabRatio="600" firstSheet="0" activeTab="1" autoFilterDateGrouping="1"/>
  </bookViews>
  <sheets>
    <sheet xmlns:r="http://schemas.openxmlformats.org/officeDocument/2006/relationships" name="Account Mastery_Analysis" sheetId="1" state="visible" r:id="rId1"/>
    <sheet xmlns:r="http://schemas.openxmlformats.org/officeDocument/2006/relationships" name="Account Mastery_Reference" sheetId="2" state="visible" r:id="rId2"/>
    <sheet xmlns:r="http://schemas.openxmlformats.org/officeDocument/2006/relationships" name="Logic and Calculation" sheetId="3" state="visible"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fullCalcOnLoad="1"/>
</workbook>
</file>

<file path=xl/styles.xml><?xml version="1.0" encoding="utf-8"?>
<styleSheet xmlns="http://schemas.openxmlformats.org/spreadsheetml/2006/main">
  <numFmts count="0"/>
  <fonts count="16">
    <font>
      <name val="Calibri"/>
      <family val="2"/>
      <color theme="1"/>
      <sz val="11"/>
      <scheme val="minor"/>
    </font>
    <font>
      <name val="Calibri"/>
      <family val="2"/>
      <b val="1"/>
      <sz val="16"/>
    </font>
    <font>
      <name val="Calibri"/>
      <family val="2"/>
      <b val="1"/>
      <sz val="10"/>
    </font>
    <font>
      <name val="Calibri"/>
      <family val="2"/>
      <sz val="10"/>
    </font>
    <font>
      <name val="Calibri"/>
      <family val="2"/>
      <b val="1"/>
      <sz val="12"/>
    </font>
    <font>
      <name val="Calibri"/>
      <family val="2"/>
      <b val="1"/>
      <color rgb="FFFFFFFF"/>
      <sz val="10"/>
    </font>
    <font>
      <name val="Calibri"/>
      <family val="2"/>
      <sz val="9"/>
    </font>
    <font>
      <name val="Calibri"/>
      <family val="2"/>
      <b val="1"/>
      <color rgb="FFFFFFFF"/>
      <sz val="11"/>
    </font>
    <font>
      <name val="Calibri"/>
      <family val="2"/>
      <b val="1"/>
      <color rgb="FFFFFFFF"/>
      <sz val="11"/>
    </font>
    <font>
      <name val="Calibri"/>
      <family val="2"/>
      <sz val="12"/>
    </font>
    <font>
      <name val="Calibri"/>
      <family val="2"/>
      <b val="1"/>
      <color rgb="FFFFFFFF"/>
      <sz val="9"/>
    </font>
    <font>
      <name val="Calibri"/>
      <family val="2"/>
      <color theme="1"/>
      <sz val="9"/>
      <scheme val="minor"/>
    </font>
    <font>
      <name val="Calibri"/>
      <family val="2"/>
      <b val="1"/>
      <color theme="1"/>
      <sz val="12"/>
      <scheme val="minor"/>
    </font>
    <font>
      <name val="Calibri"/>
      <family val="2"/>
      <sz val="9"/>
      <scheme val="minor"/>
    </font>
    <font>
      <name val="Calibri"/>
      <family val="2"/>
      <sz val="11"/>
      <scheme val="minor"/>
    </font>
    <font>
      <name val="Calibri"/>
      <family val="2"/>
      <sz val="8"/>
      <scheme val="minor"/>
    </font>
  </fonts>
  <fills count="8">
    <fill>
      <patternFill/>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
      </patternFill>
    </fill>
    <fill>
      <patternFill patternType="solid">
        <fgColor rgb="FFFFC000"/>
        <bgColor indexed="64"/>
      </patternFill>
    </fill>
  </fills>
  <borders count="21">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6">
    <xf numFmtId="0" fontId="0" fillId="0" borderId="0" pivotButton="0" quotePrefix="0" xfId="0"/>
    <xf numFmtId="0" fontId="5" fillId="2" borderId="1" applyAlignment="1" pivotButton="0" quotePrefix="0" xfId="0">
      <alignment horizontal="center" vertical="center" wrapText="1"/>
    </xf>
    <xf numFmtId="0" fontId="7" fillId="3" borderId="0" pivotButton="0" quotePrefix="0" xfId="0"/>
    <xf numFmtId="0" fontId="6" fillId="0" borderId="2" applyAlignment="1" pivotButton="0" quotePrefix="0" xfId="0">
      <alignment horizontal="center" vertical="center" wrapText="1"/>
    </xf>
    <xf numFmtId="0" fontId="8" fillId="4" borderId="0" pivotButton="0" quotePrefix="0" xfId="0"/>
    <xf numFmtId="0" fontId="0" fillId="0" borderId="0" applyAlignment="1" pivotButton="0" quotePrefix="0" xfId="0">
      <alignment horizontal="center" vertical="center"/>
    </xf>
    <xf numFmtId="0" fontId="6" fillId="6" borderId="0" applyAlignment="1" pivotButton="0" quotePrefix="0" xfId="0">
      <alignment horizontal="center" vertical="center" wrapText="1"/>
    </xf>
    <xf numFmtId="0" fontId="0" fillId="5" borderId="0" pivotButton="0" quotePrefix="0" xfId="0"/>
    <xf numFmtId="0" fontId="0" fillId="5" borderId="0" applyAlignment="1" pivotButton="0" quotePrefix="0" xfId="0">
      <alignment horizontal="center" vertical="center"/>
    </xf>
    <xf numFmtId="0" fontId="6" fillId="6" borderId="4" applyAlignment="1" pivotButton="0" quotePrefix="0" xfId="0">
      <alignment horizontal="center" vertical="center" wrapText="1"/>
    </xf>
    <xf numFmtId="0" fontId="0" fillId="5" borderId="0" applyAlignment="1" pivotButton="0" quotePrefix="0" xfId="0">
      <alignment horizontal="center" vertical="center" wrapText="1"/>
    </xf>
    <xf numFmtId="0" fontId="7" fillId="4" borderId="0" pivotButton="0" quotePrefix="0" xfId="0"/>
    <xf numFmtId="0" fontId="0" fillId="5" borderId="0" applyAlignment="1" pivotButton="0" quotePrefix="0" xfId="0">
      <alignment wrapText="1"/>
    </xf>
    <xf numFmtId="0" fontId="0" fillId="0" borderId="0" applyAlignment="1" pivotButton="0" quotePrefix="0" xfId="0">
      <alignment wrapText="1"/>
    </xf>
    <xf numFmtId="0" fontId="3" fillId="5" borderId="0" applyAlignment="1" pivotButton="0" quotePrefix="0" xfId="0">
      <alignment horizontal="left" vertical="top" wrapText="1"/>
    </xf>
    <xf numFmtId="0" fontId="2" fillId="5" borderId="0" applyAlignment="1" pivotButton="0" quotePrefix="0" xfId="0">
      <alignment horizontal="left" vertical="top" wrapText="1"/>
    </xf>
    <xf numFmtId="0" fontId="2" fillId="5" borderId="0" applyAlignment="1" pivotButton="0" quotePrefix="0" xfId="0">
      <alignment vertical="top" wrapText="1"/>
    </xf>
    <xf numFmtId="0" fontId="0" fillId="0" borderId="7" pivotButton="0" quotePrefix="0" xfId="0"/>
    <xf numFmtId="0" fontId="0" fillId="5" borderId="7" pivotButton="0" quotePrefix="0" xfId="0"/>
    <xf numFmtId="22" fontId="0" fillId="5" borderId="7" applyAlignment="1" pivotButton="0" quotePrefix="0" xfId="0">
      <alignment horizontal="left"/>
    </xf>
    <xf numFmtId="0" fontId="12" fillId="0" borderId="7" pivotButton="0" quotePrefix="0" xfId="0"/>
    <xf numFmtId="0" fontId="2" fillId="5" borderId="0" pivotButton="0" quotePrefix="0" xfId="0"/>
    <xf numFmtId="0" fontId="9" fillId="5" borderId="0" applyAlignment="1" pivotButton="0" quotePrefix="0" xfId="0">
      <alignment horizontal="center" vertical="top" wrapText="1"/>
    </xf>
    <xf numFmtId="0" fontId="0" fillId="0" borderId="0" applyAlignment="1" pivotButton="0" quotePrefix="0" xfId="0">
      <alignment horizontal="center" vertical="center" wrapText="1"/>
    </xf>
    <xf numFmtId="0" fontId="11" fillId="0" borderId="0" applyAlignment="1" pivotButton="0" quotePrefix="0" xfId="0">
      <alignment horizontal="center" vertical="center" wrapText="1"/>
    </xf>
    <xf numFmtId="0" fontId="13" fillId="0" borderId="2" applyAlignment="1" pivotButton="0" quotePrefix="0" xfId="0">
      <alignment horizontal="center" vertical="center" wrapText="1"/>
    </xf>
    <xf numFmtId="0" fontId="14" fillId="0" borderId="2" applyAlignment="1" pivotButton="0" quotePrefix="0" xfId="0">
      <alignment horizontal="center" vertical="center" wrapText="1"/>
    </xf>
    <xf numFmtId="0" fontId="5" fillId="2" borderId="11" applyAlignment="1" pivotButton="0" quotePrefix="0" xfId="0">
      <alignment horizontal="center" vertical="center" wrapText="1"/>
    </xf>
    <xf numFmtId="0" fontId="5" fillId="2" borderId="3" applyAlignment="1" pivotButton="0" quotePrefix="0" xfId="0">
      <alignment horizontal="center" vertical="center" wrapText="1"/>
    </xf>
    <xf numFmtId="0" fontId="10" fillId="2" borderId="3" applyAlignment="1" pivotButton="0" quotePrefix="0" xfId="0">
      <alignment horizontal="center" vertical="center" wrapText="1"/>
    </xf>
    <xf numFmtId="0" fontId="5" fillId="2" borderId="12" applyAlignment="1" pivotButton="0" quotePrefix="0" xfId="0">
      <alignment horizontal="center" vertical="center" wrapText="1"/>
    </xf>
    <xf numFmtId="0" fontId="0" fillId="0" borderId="13" applyAlignment="1" pivotButton="0" quotePrefix="0" xfId="0">
      <alignment horizontal="center" vertical="center" wrapText="1"/>
    </xf>
    <xf numFmtId="0" fontId="0" fillId="0" borderId="2" applyAlignment="1" pivotButton="0" quotePrefix="0" xfId="0">
      <alignment horizontal="center" vertical="center" wrapText="1"/>
    </xf>
    <xf numFmtId="0" fontId="0" fillId="0" borderId="2" pivotButton="0" quotePrefix="0" xfId="0"/>
    <xf numFmtId="0" fontId="0" fillId="0" borderId="14" applyAlignment="1" pivotButton="0" quotePrefix="0" xfId="0">
      <alignment wrapText="1"/>
    </xf>
    <xf numFmtId="0" fontId="14" fillId="0" borderId="13" applyAlignment="1" pivotButton="0" quotePrefix="0" xfId="0">
      <alignment horizontal="center" vertical="center" wrapText="1"/>
    </xf>
    <xf numFmtId="0" fontId="0" fillId="5" borderId="0" applyAlignment="1" pivotButton="0" quotePrefix="0" xfId="0">
      <alignment horizontal="center"/>
    </xf>
    <xf numFmtId="0" fontId="2" fillId="5" borderId="0" applyAlignment="1" pivotButton="0" quotePrefix="0" xfId="0">
      <alignment horizontal="center" vertical="center"/>
    </xf>
    <xf numFmtId="22" fontId="0" fillId="5" borderId="0" applyAlignment="1" pivotButton="0" quotePrefix="0" xfId="0">
      <alignment horizontal="left"/>
    </xf>
    <xf numFmtId="0" fontId="0" fillId="0" borderId="2" applyAlignment="1" pivotButton="0" quotePrefix="0" xfId="0">
      <alignment vertical="top" wrapText="1"/>
    </xf>
    <xf numFmtId="0" fontId="13" fillId="0" borderId="2" applyAlignment="1" pivotButton="0" quotePrefix="0" xfId="0">
      <alignment vertical="top" wrapText="1"/>
    </xf>
    <xf numFmtId="0" fontId="14" fillId="0" borderId="2" applyAlignment="1" pivotButton="0" quotePrefix="0" xfId="0">
      <alignment vertical="top" wrapText="1"/>
    </xf>
    <xf numFmtId="0" fontId="1" fillId="7" borderId="5" applyAlignment="1" pivotButton="0" quotePrefix="0" xfId="0">
      <alignment horizontal="center" vertical="center"/>
    </xf>
    <xf numFmtId="0" fontId="0" fillId="7" borderId="6" pivotButton="0" quotePrefix="0" xfId="0"/>
    <xf numFmtId="0" fontId="0" fillId="7" borderId="20" pivotButton="0" quotePrefix="0" xfId="0"/>
    <xf numFmtId="0" fontId="3" fillId="5" borderId="0" applyAlignment="1" pivotButton="0" quotePrefix="0" xfId="0">
      <alignment horizontal="left" vertical="top" wrapText="1"/>
    </xf>
    <xf numFmtId="0" fontId="0" fillId="0" borderId="0" pivotButton="0" quotePrefix="0" xfId="0"/>
    <xf numFmtId="0" fontId="2" fillId="5" borderId="0" pivotButton="0" quotePrefix="0" xfId="0"/>
    <xf numFmtId="0" fontId="4" fillId="0" borderId="0" applyAlignment="1" pivotButton="0" quotePrefix="0" xfId="0">
      <alignment horizontal="left" vertical="top" wrapText="1"/>
    </xf>
    <xf numFmtId="0" fontId="9" fillId="5" borderId="5" applyAlignment="1" pivotButton="0" quotePrefix="0" xfId="0">
      <alignment horizontal="center" vertical="top" wrapText="1"/>
    </xf>
    <xf numFmtId="0" fontId="9" fillId="5" borderId="6" applyAlignment="1" pivotButton="0" quotePrefix="0" xfId="0">
      <alignment horizontal="center" vertical="top" wrapText="1"/>
    </xf>
    <xf numFmtId="0" fontId="0" fillId="0" borderId="6" pivotButton="0" quotePrefix="0" xfId="0"/>
    <xf numFmtId="0" fontId="0" fillId="0" borderId="20" pivotButton="0" quotePrefix="0" xfId="0"/>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0" fillId="0" borderId="0" applyAlignment="1" pivotButton="0" quotePrefix="0" xfId="0">
      <alignment horizontal="center"/>
    </xf>
    <xf numFmtId="0" fontId="0" fillId="5" borderId="9" applyAlignment="1" pivotButton="0" quotePrefix="0" xfId="0">
      <alignment horizontal="center"/>
    </xf>
    <xf numFmtId="0" fontId="0" fillId="5" borderId="8" applyAlignment="1" pivotButton="0" quotePrefix="0" xfId="0">
      <alignment horizontal="center"/>
    </xf>
    <xf numFmtId="0" fontId="0" fillId="5" borderId="15" applyAlignment="1" pivotButton="0" quotePrefix="0" xfId="0">
      <alignment horizontal="center"/>
    </xf>
    <xf numFmtId="0" fontId="0" fillId="5" borderId="19" applyAlignment="1" pivotButton="0" quotePrefix="0" xfId="0">
      <alignment horizontal="center"/>
    </xf>
    <xf numFmtId="0" fontId="0" fillId="5" borderId="16" applyAlignment="1" pivotButton="0" quotePrefix="0" xfId="0">
      <alignment horizontal="center"/>
    </xf>
    <xf numFmtId="0" fontId="0" fillId="5" borderId="17" applyAlignment="1" pivotButton="0" quotePrefix="0" xfId="0">
      <alignment horizontal="center"/>
    </xf>
    <xf numFmtId="0" fontId="2" fillId="5" borderId="9" applyAlignment="1" pivotButton="0" quotePrefix="0" xfId="0">
      <alignment horizontal="center" vertical="center"/>
    </xf>
    <xf numFmtId="0" fontId="2" fillId="5" borderId="15" applyAlignment="1" pivotButton="0" quotePrefix="0" xfId="0">
      <alignment horizontal="center" vertical="center"/>
    </xf>
    <xf numFmtId="0" fontId="2" fillId="5" borderId="19" applyAlignment="1" pivotButton="0" quotePrefix="0" xfId="0">
      <alignment horizontal="center" vertical="center"/>
    </xf>
    <xf numFmtId="0" fontId="2" fillId="5" borderId="17" applyAlignment="1" pivotButton="0" quotePrefix="0" xfId="0">
      <alignment horizontal="center" vertical="center"/>
    </xf>
    <xf numFmtId="0" fontId="2" fillId="5" borderId="18" applyAlignment="1" pivotButton="0" quotePrefix="0" xfId="0">
      <alignment horizontal="center" vertical="center"/>
    </xf>
    <xf numFmtId="0" fontId="2" fillId="5" borderId="10" applyAlignment="1" pivotButton="0" quotePrefix="0" xfId="0">
      <alignment horizontal="center" vertical="center"/>
    </xf>
    <xf numFmtId="0" fontId="0" fillId="5" borderId="18" applyAlignment="1" pivotButton="0" quotePrefix="0" xfId="0">
      <alignment horizontal="center"/>
    </xf>
    <xf numFmtId="0" fontId="0" fillId="5" borderId="0" applyAlignment="1" pivotButton="0" quotePrefix="0" xfId="0">
      <alignment horizontal="center"/>
    </xf>
    <xf numFmtId="0" fontId="0" fillId="5" borderId="10" applyAlignment="1" pivotButton="0" quotePrefix="0" xfId="0">
      <alignment horizontal="center"/>
    </xf>
    <xf numFmtId="0" fontId="0" fillId="5" borderId="5" applyAlignment="1" pivotButton="0" quotePrefix="0" xfId="0">
      <alignment horizontal="center" wrapText="1"/>
    </xf>
    <xf numFmtId="0" fontId="0" fillId="5" borderId="20" applyAlignment="1" pivotButton="0" quotePrefix="0" xfId="0">
      <alignment horizontal="center" wrapText="1"/>
    </xf>
    <xf numFmtId="0" fontId="1" fillId="7" borderId="7" applyAlignment="1" pivotButton="0" quotePrefix="0" xfId="0">
      <alignment horizontal="center" vertical="center"/>
    </xf>
    <xf numFmtId="0" fontId="1" fillId="5" borderId="7" applyAlignment="1" pivotButton="0" quotePrefix="0" xfId="0">
      <alignment horizontal="center" vertical="center"/>
    </xf>
    <xf numFmtId="0" fontId="9" fillId="5" borderId="7" applyAlignment="1" pivotButton="0" quotePrefix="0" xfId="0">
      <alignment horizontal="center" vertical="top" wrapText="1"/>
    </xf>
    <xf numFmtId="0" fontId="2" fillId="5" borderId="7" applyAlignment="1" pivotButton="0" quotePrefix="0" xfId="0">
      <alignment horizontal="center" vertical="center"/>
    </xf>
    <xf numFmtId="0" fontId="0" fillId="0" borderId="15" pivotButton="0" quotePrefix="0" xfId="0"/>
    <xf numFmtId="0" fontId="0" fillId="5" borderId="7" applyAlignment="1" pivotButton="0" quotePrefix="0" xfId="0">
      <alignment horizontal="center"/>
    </xf>
    <xf numFmtId="0" fontId="0" fillId="0" borderId="8" pivotButton="0" quotePrefix="0" xfId="0"/>
    <xf numFmtId="0" fontId="0" fillId="0" borderId="19" pivotButton="0" quotePrefix="0" xfId="0"/>
    <xf numFmtId="0" fontId="0" fillId="0" borderId="17" pivotButton="0" quotePrefix="0" xfId="0"/>
    <xf numFmtId="0" fontId="0" fillId="0" borderId="16" pivotButton="0" quotePrefix="0" xfId="0"/>
    <xf numFmtId="0" fontId="0" fillId="0" borderId="18" pivotButton="0" quotePrefix="0" xfId="0"/>
    <xf numFmtId="0" fontId="0" fillId="0" borderId="10" pivotButton="0" quotePrefix="0" xfId="0"/>
    <xf numFmtId="0" fontId="0" fillId="5" borderId="7" applyAlignment="1" pivotButton="0" quotePrefix="0" xfId="0">
      <alignment horizontal="center"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name val="Calibri"/>
        <family val="2"/>
        <strike val="0"/>
        <outline val="0"/>
        <shadow val="0"/>
        <condense val="0"/>
        <color auto="1"/>
        <extend val="0"/>
        <sz val="9"/>
        <vertAlign val="baseline"/>
      </font>
      <alignment horizontal="left" vertical="top" wrapText="1"/>
      <border>
        <left style="thin">
          <color indexed="64"/>
        </left>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scheme val="minor"/>
      </font>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9"/>
        <vertAlign val="baseline"/>
      </font>
      <alignment horizontal="center" vertical="center" wrapText="1"/>
      <border>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name val="Calibri"/>
        <family val="2"/>
        <strike val="0"/>
        <outline val="0"/>
        <shadow val="0"/>
        <condense val="0"/>
        <color auto="1"/>
        <extend val="0"/>
        <sz val="9"/>
        <vertAlign val="baseline"/>
      </font>
      <alignment horizontal="center" vertical="center" wrapText="1"/>
    </dxf>
    <dxf>
      <border>
        <bottom style="thin">
          <color indexed="64"/>
        </bottom>
      </border>
    </dxf>
    <dxf>
      <font>
        <name val="Calibri"/>
        <family val="2"/>
        <b val="1"/>
        <strike val="0"/>
        <outline val="0"/>
        <shadow val="0"/>
        <condense val="0"/>
        <color rgb="FFFFFFFF"/>
        <extend val="0"/>
        <sz val="10"/>
        <vertAlign val="baseline"/>
      </font>
      <fill>
        <patternFill patternType="solid">
          <fgColor indexed="64"/>
          <bgColor rgb="FF1F4E79"/>
        </patternFill>
      </fill>
      <alignment horizontal="center" vertical="center" wrapText="1"/>
      <border>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ables/table1.xml><?xml version="1.0" encoding="utf-8"?>
<table xmlns="http://schemas.openxmlformats.org/spreadsheetml/2006/main" id="1" name="Table1" displayName="Table1" ref="A1:O15" headerRowCount="1" totalsRowShown="0" headerRowDxfId="28" dataDxfId="26" headerRowBorderDxfId="27" tableBorderDxfId="25" totalsRowBorderDxfId="24">
  <autoFilter ref="A1:O15"/>
  <tableColumns count="15">
    <tableColumn id="1" name="Block" dataDxfId="23"/>
    <tableColumn id="2" name="Control ID" dataDxfId="22"/>
    <tableColumn id="3" name="Control Name" dataDxfId="21"/>
    <tableColumn id="4" name="STATUS" dataDxfId="20"/>
    <tableColumn id="5" name="What" dataDxfId="19"/>
    <tableColumn id="6" name="Why" dataDxfId="18"/>
    <tableColumn id="7" name="How" dataDxfId="17"/>
    <tableColumn id="14" name="What We Saw" dataDxfId="16"/>
    <tableColumn id="13" name="Why It Matters" dataDxfId="15"/>
    <tableColumn id="15" name="What You Should Do" dataDxfId="14"/>
    <tableColumn id="8" name="Data Source" dataDxfId="13"/>
    <tableColumn id="9" name="Impact" dataDxfId="12">
      <calculatedColumnFormula>VLOOKUP(Table1[[#This Row],[Importance]],'Logic and Calculation'!$H$3:$J$12,3,FALSE)</calculatedColumnFormula>
    </tableColumn>
    <tableColumn id="10" name="Importance" dataDxfId="11"/>
    <tableColumn id="11" name="Priority" dataDxfId="10">
      <calculatedColumnFormula>VLOOKUP(Table1[[#This Row],[Importance]],'Logic and Calculation'!$H$3:$J$12,2,FALSE)</calculatedColumnFormula>
    </tableColumn>
    <tableColumn id="12"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outlinePr summaryBelow="1" summaryRight="1"/>
    <pageSetUpPr/>
  </sheetPr>
  <dimension ref="A1:G51"/>
  <sheetViews>
    <sheetView zoomScale="70" zoomScaleNormal="70" workbookViewId="0">
      <pane ySplit="8" topLeftCell="A9" activePane="bottomLeft" state="frozen"/>
      <selection pane="bottomLeft" activeCell="D21" sqref="D21"/>
    </sheetView>
  </sheetViews>
  <sheetFormatPr baseColWidth="8" defaultRowHeight="14.4"/>
  <cols>
    <col width="21.44140625" customWidth="1" style="46" min="1" max="1"/>
    <col width="27.5546875" customWidth="1" style="46" min="2" max="2"/>
    <col width="38.21875" customWidth="1" style="46" min="3" max="3"/>
    <col width="76.44140625" customWidth="1" style="13" min="4" max="4"/>
    <col width="50.21875" customWidth="1" style="13" min="5" max="6"/>
    <col width="34.44140625" customWidth="1" style="46" min="7" max="7"/>
    <col width="21.5546875" bestFit="1" customWidth="1" style="7" min="8" max="8"/>
    <col width="26.21875" bestFit="1" customWidth="1" style="7" min="9" max="9"/>
    <col width="19.6640625" bestFit="1" customWidth="1" style="7" min="10" max="10"/>
    <col width="19.44140625" bestFit="1" customWidth="1" style="7" min="11" max="11"/>
    <col width="21.88671875" bestFit="1" customWidth="1" style="7" min="12" max="12"/>
    <col width="25" bestFit="1" customWidth="1" style="7" min="13" max="13"/>
    <col width="25.6640625" bestFit="1" customWidth="1" style="7" min="14" max="14"/>
    <col width="28.44140625" bestFit="1" customWidth="1" style="7" min="15" max="15"/>
    <col width="27.6640625" bestFit="1" customWidth="1" style="7" min="16" max="16"/>
    <col width="22.33203125" bestFit="1" customWidth="1" style="7" min="17" max="17"/>
    <col width="16.88671875" bestFit="1" customWidth="1" style="7" min="18" max="18"/>
    <col width="10.6640625" bestFit="1" customWidth="1" style="7" min="19" max="19"/>
    <col width="26.6640625" bestFit="1" customWidth="1" style="7" min="20" max="20"/>
    <col width="27.6640625" bestFit="1" customWidth="1" style="7" min="21" max="21"/>
    <col width="18.88671875" bestFit="1" customWidth="1" style="7" min="22" max="22"/>
    <col width="20" bestFit="1" customWidth="1" style="7" min="23" max="23"/>
    <col width="14.44140625" bestFit="1" customWidth="1" style="7" min="24" max="24"/>
    <col width="19.44140625" bestFit="1" customWidth="1" style="7" min="25" max="25"/>
    <col width="12.77734375" bestFit="1" customWidth="1" style="7" min="26" max="26"/>
    <col width="30.44140625" bestFit="1" customWidth="1" style="7" min="27" max="27"/>
    <col width="24.88671875" bestFit="1" customWidth="1" style="7" min="28" max="28"/>
    <col width="20.44140625" bestFit="1" customWidth="1" style="7" min="29" max="29"/>
    <col width="16.109375" bestFit="1" customWidth="1" style="7" min="30" max="30"/>
    <col width="21.5546875" bestFit="1" customWidth="1" style="7" min="31" max="31"/>
    <col width="25.77734375" bestFit="1" customWidth="1" style="46" min="32" max="32"/>
    <col width="16.88671875" bestFit="1" customWidth="1" style="46" min="33" max="33"/>
    <col width="24.109375" bestFit="1" customWidth="1" style="46" min="34" max="34"/>
    <col width="26" bestFit="1" customWidth="1" style="46" min="35" max="35"/>
    <col width="22.21875" bestFit="1" customWidth="1" style="46" min="36" max="36"/>
    <col width="28" bestFit="1" customWidth="1" style="46" min="37" max="37"/>
    <col width="22.21875" bestFit="1" customWidth="1" style="46" min="38" max="38"/>
    <col width="16.77734375" bestFit="1" customWidth="1" style="46" min="39" max="39"/>
    <col width="14.33203125" bestFit="1" customWidth="1" style="46" min="40" max="40"/>
    <col width="16.5546875" bestFit="1" customWidth="1" style="46" min="41" max="41"/>
    <col width="15.5546875" bestFit="1" customWidth="1" style="46" min="42" max="42"/>
    <col width="21.21875" bestFit="1" customWidth="1" style="46" min="43" max="43"/>
    <col width="19.33203125" bestFit="1" customWidth="1" style="46" min="44" max="44"/>
    <col width="20.21875" bestFit="1" customWidth="1" style="46" min="45" max="45"/>
    <col width="18.5546875" bestFit="1" customWidth="1" style="46" min="46" max="46"/>
    <col width="19.6640625" bestFit="1" customWidth="1" style="46" min="47" max="47"/>
    <col width="29.33203125" bestFit="1" customWidth="1" style="46" min="48" max="48"/>
    <col width="12.44140625" bestFit="1" customWidth="1" style="46" min="49" max="49"/>
    <col width="22.6640625" bestFit="1" customWidth="1" style="46" min="50" max="50"/>
    <col width="15.77734375" bestFit="1" customWidth="1" style="46" min="51" max="51"/>
    <col width="28.21875" bestFit="1" customWidth="1" style="46" min="52" max="52"/>
    <col width="21.5546875" bestFit="1" customWidth="1" style="46" min="53" max="53"/>
    <col width="26.33203125" bestFit="1" customWidth="1" style="46" min="54" max="54"/>
    <col width="19.5546875" bestFit="1" customWidth="1" style="46" min="55" max="55"/>
    <col width="11" bestFit="1" customWidth="1" style="46" min="56" max="56"/>
  </cols>
  <sheetData>
    <row r="1" ht="28.05" customHeight="1" s="46" thickBot="1">
      <c r="A1" s="73" t="inlineStr">
        <is>
          <t>53588A - US - ZooPro — Account Mastery Analysis</t>
        </is>
      </c>
      <c r="B1" s="51" t="n"/>
      <c r="C1" s="51" t="n"/>
      <c r="D1" s="51" t="n"/>
      <c r="E1" s="51" t="n"/>
      <c r="F1" s="51" t="n"/>
      <c r="G1" s="52" t="n"/>
    </row>
    <row r="2">
      <c r="A2" s="16" t="inlineStr">
        <is>
          <t xml:space="preserve">Mastery Version &gt; </t>
        </is>
      </c>
      <c r="B2" s="7" t="inlineStr">
        <is>
          <t>v1.0</t>
        </is>
      </c>
      <c r="C2" s="7" t="n"/>
      <c r="D2" s="45" t="n"/>
    </row>
    <row r="3">
      <c r="A3" s="15" t="inlineStr">
        <is>
          <t>Account &gt;</t>
        </is>
      </c>
      <c r="B3" t="inlineStr">
        <is>
          <t>Account: 9B2AD3 - US - Greestone - seller | Tenant ID: 69ece8e2-28ed-4919-a7a7-b81ede84d5d5 | Account ID: 1425191550341661</t>
        </is>
      </c>
      <c r="D3" s="45" t="n"/>
    </row>
    <row r="4" ht="14.4" customHeight="1" s="46">
      <c r="A4" s="16" t="inlineStr">
        <is>
          <t xml:space="preserve">Evaluation Window &gt; </t>
        </is>
      </c>
      <c r="B4" s="7" t="inlineStr">
        <is>
          <t>2025-12-31 to 2026-01-30 (30 days)</t>
        </is>
      </c>
      <c r="C4" s="7" t="n"/>
      <c r="D4" s="45" t="n"/>
    </row>
    <row r="5" ht="14.4" customHeight="1" s="46">
      <c r="A5" s="16" t="inlineStr">
        <is>
          <t xml:space="preserve">Download Date &gt; </t>
        </is>
      </c>
      <c r="B5" s="38" t="n">
        <v>46083.68488425926</v>
      </c>
      <c r="C5" s="7" t="n"/>
      <c r="D5" s="45" t="n"/>
    </row>
    <row r="6" ht="15" customHeight="1" s="46" thickBot="1">
      <c r="A6" s="7" t="n"/>
      <c r="B6" s="7" t="n"/>
      <c r="C6" s="7" t="n"/>
      <c r="D6" s="12" t="n"/>
      <c r="E6" s="12" t="n"/>
      <c r="F6" s="12" t="n"/>
      <c r="G6" s="7" t="n"/>
    </row>
    <row r="7" ht="21" customHeight="1" s="46" thickBot="1">
      <c r="A7" s="47" t="inlineStr">
        <is>
          <t>Mastery Grade</t>
        </is>
      </c>
      <c r="D7" s="74">
        <f>'Logic and Calculation'!B5</f>
        <v/>
      </c>
      <c r="E7" s="51" t="n"/>
      <c r="F7" s="51" t="n"/>
      <c r="G7" s="52" t="n"/>
    </row>
    <row r="8" ht="18" customHeight="1" s="46" thickBot="1">
      <c r="A8" s="47" t="inlineStr">
        <is>
          <t>Interpretation</t>
        </is>
      </c>
      <c r="D8" s="75">
        <f t="array" ref="D8">_xlfn.IFS(D7='Logic and Calculation'!L3,'Logic and Calculation'!M3,D7='Logic and Calculation'!L4,'Logic and Calculation'!M4,D7='Logic and Calculation'!L5,'Logic and Calculation'!M5)</f>
        <v/>
      </c>
      <c r="E8" s="51" t="n"/>
      <c r="F8" s="51" t="n"/>
      <c r="G8" s="52" t="n"/>
    </row>
    <row r="9" ht="18" customFormat="1" customHeight="1" s="7">
      <c r="A9" s="47" t="n"/>
      <c r="D9" s="22" t="n"/>
    </row>
    <row r="10" ht="18" customFormat="1" customHeight="1" s="7" thickBot="1">
      <c r="A10" s="47" t="n"/>
      <c r="D10" s="22" t="n"/>
    </row>
    <row r="11" ht="18" customFormat="1" customHeight="1" s="7">
      <c r="A11" s="76" t="inlineStr">
        <is>
          <t xml:space="preserve">Primary Objective </t>
        </is>
      </c>
      <c r="B11" s="77" t="n"/>
      <c r="C11" s="78" t="n"/>
      <c r="D11" s="79" t="n"/>
      <c r="E11" s="79" t="n"/>
      <c r="F11" s="79" t="n"/>
      <c r="G11" s="77" t="n"/>
    </row>
    <row r="12" ht="18" customFormat="1" customHeight="1" s="7" thickBot="1">
      <c r="A12" s="80" t="n"/>
      <c r="B12" s="81" t="n"/>
      <c r="C12" s="80" t="n"/>
      <c r="D12" s="82" t="n"/>
      <c r="E12" s="82" t="n"/>
      <c r="F12" s="82" t="n"/>
      <c r="G12" s="81" t="n"/>
    </row>
    <row r="13" ht="18" customFormat="1" customHeight="1" s="7">
      <c r="A13" s="76" t="inlineStr">
        <is>
          <t>Context for Customizations</t>
        </is>
      </c>
      <c r="B13" s="77" t="n"/>
      <c r="C13" s="78" t="n"/>
      <c r="D13" s="79" t="n"/>
      <c r="E13" s="79" t="n"/>
      <c r="F13" s="79" t="n"/>
      <c r="G13" s="77" t="n"/>
    </row>
    <row r="14" ht="18" customFormat="1" customHeight="1" s="7">
      <c r="A14" s="83" t="n"/>
      <c r="B14" s="84" t="n"/>
      <c r="C14" s="83" t="n"/>
      <c r="G14" s="84" t="n"/>
    </row>
    <row r="15" ht="18" customFormat="1" customHeight="1" s="7" thickBot="1">
      <c r="A15" s="80" t="n"/>
      <c r="B15" s="81" t="n"/>
      <c r="C15" s="80" t="n"/>
      <c r="D15" s="82" t="n"/>
      <c r="E15" s="82" t="n"/>
      <c r="F15" s="82" t="n"/>
      <c r="G15" s="81" t="n"/>
    </row>
    <row r="16" ht="18" customFormat="1" customHeight="1" s="7">
      <c r="A16" s="37" t="n"/>
      <c r="B16" s="37" t="n"/>
      <c r="C16" s="69" t="n"/>
      <c r="D16" s="69" t="n"/>
      <c r="E16" s="69" t="n"/>
      <c r="F16" s="69" t="n"/>
      <c r="G16" s="69" t="n"/>
    </row>
    <row r="17" ht="18" customFormat="1" customHeight="1" s="7" thickBot="1">
      <c r="A17" s="47" t="n"/>
      <c r="D17" s="22" t="n"/>
    </row>
    <row r="18" ht="18" customFormat="1" customHeight="1" s="7" thickBot="1">
      <c r="A18" s="15" t="inlineStr">
        <is>
          <t>ACoS Objective&gt;</t>
        </is>
      </c>
      <c r="B18" s="17" t="n"/>
      <c r="D18" s="22" t="n"/>
    </row>
    <row r="19" ht="18" customFormat="1" customHeight="1" s="7" thickBot="1">
      <c r="A19" s="15" t="inlineStr">
        <is>
          <t>TACoS Objective &gt;</t>
        </is>
      </c>
      <c r="B19" s="18" t="n"/>
      <c r="D19" s="22" t="n"/>
    </row>
    <row r="20" ht="18" customFormat="1" customHeight="1" s="7">
      <c r="A20" s="47" t="n"/>
      <c r="D20" s="22" t="n"/>
    </row>
    <row r="21" ht="18" customFormat="1" customHeight="1" s="7" thickBot="1">
      <c r="A21" s="47" t="n"/>
      <c r="D21" s="22" t="n"/>
    </row>
    <row r="22" ht="18" customHeight="1" s="46" thickBot="1">
      <c r="A22" s="15" t="inlineStr">
        <is>
          <t>ACoS Constrains &gt;</t>
        </is>
      </c>
      <c r="B22" s="17" t="n"/>
      <c r="C22" s="7" t="n"/>
      <c r="D22" s="55" t="n"/>
    </row>
    <row r="23" ht="18" customHeight="1" s="46" thickBot="1">
      <c r="A23" s="15" t="inlineStr">
        <is>
          <t>TACoS Constrains &gt;</t>
        </is>
      </c>
      <c r="B23" s="18" t="n"/>
      <c r="C23" s="7" t="n"/>
      <c r="D23" s="20" t="inlineStr">
        <is>
          <t>PRIMARY KPI</t>
        </is>
      </c>
      <c r="E23" s="85" t="n"/>
      <c r="F23" s="52" t="n"/>
      <c r="G23" s="7" t="n"/>
    </row>
    <row r="24" ht="18" customHeight="1" s="46" thickBot="1">
      <c r="A24" s="15" t="inlineStr">
        <is>
          <t>Budget Constrains &gt;</t>
        </is>
      </c>
      <c r="B24" s="19" t="n"/>
      <c r="C24" s="7" t="n"/>
      <c r="D24" s="12" t="n"/>
      <c r="E24" s="12" t="n"/>
      <c r="F24" s="12" t="n"/>
      <c r="G24" s="7" t="n"/>
    </row>
    <row r="25" ht="18" customHeight="1" s="46">
      <c r="A25" s="7" t="n"/>
      <c r="B25" s="7" t="n"/>
      <c r="C25" s="7" t="n"/>
      <c r="D25" s="12" t="n"/>
      <c r="E25" s="12" t="n"/>
      <c r="F25" s="12" t="n"/>
      <c r="G25" s="7" t="n"/>
    </row>
    <row r="26">
      <c r="A26" s="48" t="inlineStr">
        <is>
          <t>Key Findings (Prioritized) — include all FLAG / PARTIAL controls (no max items)</t>
        </is>
      </c>
    </row>
    <row r="27" ht="19.95" customHeight="1" s="46">
      <c r="A27" s="1" t="inlineStr">
        <is>
          <t>Control ID</t>
        </is>
      </c>
      <c r="B27" s="1" t="inlineStr">
        <is>
          <t>Control Name</t>
        </is>
      </c>
      <c r="C27" s="1" t="inlineStr">
        <is>
          <t>Status</t>
        </is>
      </c>
      <c r="D27" s="1" t="inlineStr">
        <is>
          <t>What We Saw</t>
        </is>
      </c>
      <c r="E27" s="1" t="inlineStr">
        <is>
          <t>Why It Matters</t>
        </is>
      </c>
      <c r="F27" s="1" t="inlineStr">
        <is>
          <t>What You Should Do</t>
        </is>
      </c>
      <c r="G27" s="1" t="inlineStr">
        <is>
          <t>Impact</t>
        </is>
      </c>
    </row>
    <row r="28" ht="44.4" customHeight="1" s="46">
      <c r="A28" s="8">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
      </c>
      <c r="B28" s="8" t="n"/>
      <c r="C28" s="9" t="n"/>
      <c r="D28" s="10" t="n"/>
      <c r="E28" s="10" t="n"/>
      <c r="F28" s="10" t="n"/>
      <c r="G28" s="8" t="n"/>
    </row>
    <row r="29" ht="44.4" customHeight="1" s="46">
      <c r="A29" s="8" t="n"/>
      <c r="B29" s="8" t="n"/>
      <c r="C29" s="6" t="n"/>
      <c r="D29" s="10" t="n"/>
      <c r="E29" s="10" t="n"/>
      <c r="F29" s="10" t="n"/>
      <c r="G29" s="8" t="n"/>
    </row>
    <row r="30" ht="44.4" customHeight="1" s="46">
      <c r="A30" s="8" t="n"/>
      <c r="B30" s="8" t="n"/>
      <c r="C30" s="6" t="n"/>
      <c r="D30" s="10" t="n"/>
      <c r="E30" s="10" t="n"/>
      <c r="F30" s="10" t="n"/>
      <c r="G30" s="8" t="n"/>
    </row>
    <row r="31" ht="44.4" customHeight="1" s="46">
      <c r="A31" s="8" t="n"/>
      <c r="B31" s="8" t="n"/>
      <c r="C31" s="6" t="n"/>
      <c r="D31" s="10" t="n"/>
      <c r="E31" s="10" t="n"/>
      <c r="F31" s="10" t="n"/>
      <c r="G31" s="8" t="n"/>
    </row>
    <row r="32" ht="44.4" customHeight="1" s="46">
      <c r="A32" s="8" t="n"/>
      <c r="B32" s="8" t="n"/>
      <c r="C32" s="6" t="n"/>
      <c r="D32" s="10" t="n"/>
      <c r="E32" s="10" t="n"/>
      <c r="F32" s="10" t="n"/>
      <c r="G32" s="8" t="n"/>
    </row>
    <row r="33" ht="44.4" customHeight="1" s="46">
      <c r="A33" s="8" t="n"/>
      <c r="B33" s="8" t="n"/>
      <c r="C33" s="6" t="n"/>
      <c r="D33" s="10" t="n"/>
      <c r="E33" s="10" t="n"/>
      <c r="F33" s="10" t="n"/>
      <c r="G33" s="8" t="n"/>
    </row>
    <row r="34" ht="44.4" customHeight="1" s="46">
      <c r="A34" s="8" t="n"/>
      <c r="B34" s="8" t="n"/>
      <c r="C34" s="6" t="n"/>
      <c r="D34" s="10" t="n"/>
      <c r="E34" s="10" t="n"/>
      <c r="F34" s="10" t="n"/>
      <c r="G34" s="8" t="n"/>
    </row>
    <row r="35" ht="44.4" customHeight="1" s="46">
      <c r="A35" s="8" t="n"/>
      <c r="B35" s="8" t="n"/>
      <c r="C35" s="6" t="n"/>
      <c r="D35" s="10" t="n"/>
      <c r="E35" s="10" t="n"/>
      <c r="F35" s="10" t="n"/>
      <c r="G35" s="8" t="n"/>
    </row>
    <row r="36" ht="44.4" customHeight="1" s="46">
      <c r="A36" s="8" t="n"/>
      <c r="B36" s="8" t="n"/>
      <c r="C36" s="6" t="n"/>
      <c r="D36" s="10" t="n"/>
      <c r="E36" s="10" t="n"/>
      <c r="F36" s="10" t="n"/>
      <c r="G36" s="8" t="n"/>
    </row>
    <row r="37" ht="44.4" customHeight="1" s="46">
      <c r="A37" s="8" t="n"/>
      <c r="B37" s="8" t="n"/>
      <c r="C37" s="6" t="n"/>
      <c r="D37" s="10" t="n"/>
      <c r="E37" s="10" t="n"/>
      <c r="F37" s="10" t="n"/>
      <c r="G37" s="8" t="n"/>
    </row>
    <row r="38" ht="44.4" customHeight="1" s="46">
      <c r="A38" s="8" t="n"/>
      <c r="B38" s="8" t="n"/>
      <c r="C38" s="6" t="n"/>
      <c r="D38" s="10" t="n"/>
      <c r="E38" s="10" t="n"/>
      <c r="F38" s="10" t="n"/>
      <c r="G38" s="8" t="n"/>
    </row>
    <row r="39" ht="44.4" customHeight="1" s="46">
      <c r="A39" s="8" t="n"/>
      <c r="B39" s="8" t="n"/>
      <c r="C39" s="6" t="n"/>
      <c r="D39" s="10" t="n"/>
      <c r="E39" s="10" t="n"/>
      <c r="F39" s="10" t="n"/>
      <c r="G39" s="8" t="n"/>
    </row>
    <row r="40" ht="44.4" customHeight="1" s="46">
      <c r="A40" s="8" t="n"/>
      <c r="B40" s="8" t="n"/>
      <c r="C40" s="6" t="n"/>
      <c r="D40" s="10" t="n"/>
      <c r="E40" s="10" t="n"/>
      <c r="F40" s="10" t="n"/>
      <c r="G40" s="8" t="n"/>
    </row>
    <row r="41" ht="44.4" customHeight="1" s="46">
      <c r="A41" s="8" t="n"/>
      <c r="B41" s="8" t="n"/>
      <c r="C41" s="6" t="n"/>
      <c r="D41" s="10" t="n"/>
      <c r="E41" s="10" t="n"/>
      <c r="F41" s="10" t="n"/>
      <c r="G41" s="8" t="n"/>
    </row>
    <row r="42" ht="44.4" customHeight="1" s="46">
      <c r="A42" s="7" t="n"/>
      <c r="B42" s="7" t="n"/>
      <c r="C42" s="6" t="n"/>
      <c r="D42" s="12" t="n"/>
      <c r="E42" s="12" t="n"/>
      <c r="F42" s="12" t="n"/>
      <c r="G42" s="7" t="n"/>
    </row>
    <row r="43" ht="44.4" customHeight="1" s="46">
      <c r="A43" s="7" t="n"/>
      <c r="B43" s="7" t="n"/>
      <c r="C43" s="6" t="n"/>
      <c r="D43" s="12" t="n"/>
      <c r="E43" s="12" t="n"/>
      <c r="F43" s="12" t="n"/>
      <c r="G43" s="7" t="n"/>
    </row>
    <row r="44" ht="44.4" customHeight="1" s="46">
      <c r="A44" s="7" t="n"/>
      <c r="B44" s="7" t="n"/>
      <c r="C44" s="6" t="n"/>
      <c r="D44" s="12" t="n"/>
      <c r="E44" s="12" t="n"/>
      <c r="F44" s="12" t="n"/>
      <c r="G44" s="7" t="n"/>
    </row>
    <row r="45" ht="44.4" customHeight="1" s="46">
      <c r="A45" s="7" t="n"/>
      <c r="B45" s="7" t="n"/>
      <c r="C45" s="6" t="n"/>
      <c r="D45" s="12" t="n"/>
      <c r="E45" s="12" t="n"/>
      <c r="F45" s="12" t="n"/>
      <c r="G45" s="7" t="n"/>
    </row>
    <row r="46" ht="44.4" customHeight="1" s="46">
      <c r="A46" s="7" t="n"/>
      <c r="B46" s="7" t="n"/>
      <c r="C46" s="6" t="n"/>
      <c r="D46" s="12" t="n"/>
      <c r="E46" s="12" t="n"/>
      <c r="F46" s="12" t="n"/>
      <c r="G46" s="7" t="n"/>
    </row>
    <row r="47" ht="44.4" customHeight="1" s="46">
      <c r="C47" s="6" t="n"/>
    </row>
    <row r="48" ht="44.4" customHeight="1" s="46">
      <c r="C48" s="6" t="n"/>
    </row>
    <row r="49" ht="44.4" customHeight="1" s="46">
      <c r="C49" s="6" t="n"/>
    </row>
    <row r="50" ht="44.4" customHeight="1" s="46">
      <c r="C50" s="6" t="n"/>
    </row>
    <row r="51" ht="44.4" customHeight="1" s="46">
      <c r="C51" s="6" t="n"/>
    </row>
  </sheetData>
  <mergeCells count="14">
    <mergeCell ref="D22:G22"/>
    <mergeCell ref="A1:G1"/>
    <mergeCell ref="D8:G8"/>
    <mergeCell ref="A8:C8"/>
    <mergeCell ref="A11:B12"/>
    <mergeCell ref="D4:G4"/>
    <mergeCell ref="A26:G26"/>
    <mergeCell ref="D7:G7"/>
    <mergeCell ref="C11:G12"/>
    <mergeCell ref="E23:F23"/>
    <mergeCell ref="A7:C7"/>
    <mergeCell ref="C13:G15"/>
    <mergeCell ref="D2:G2"/>
    <mergeCell ref="A13:B15"/>
  </mergeCells>
  <conditionalFormatting sqref="C28:C51">
    <cfRule type="cellIs" priority="4" operator="equal" dxfId="2" stopIfTrue="1">
      <formula>"OK"</formula>
    </cfRule>
    <cfRule type="cellIs" priority="5" operator="equal" dxfId="1" stopIfTrue="1">
      <formula>"PARTIAL"</formula>
    </cfRule>
    <cfRule type="cellIs" priority="6" operator="equal" dxfId="0" stopIfTrue="1">
      <formula>"FLAG"</formula>
    </cfRule>
  </conditionalFormatting>
  <conditionalFormatting sqref="D7:G7">
    <cfRule type="containsText" priority="1" operator="containsText" dxfId="5" text="Compliant ">
      <formula>NOT(ISERROR(SEARCH("Compliant ",D7)))</formula>
    </cfRule>
    <cfRule type="containsText" priority="2" operator="containsText" dxfId="4" text="Needs Attention">
      <formula>NOT(ISERROR(SEARCH("Needs Attention",D7)))</formula>
    </cfRule>
    <cfRule type="containsText" priority="3" operator="containsText" dxfId="3" text="Not">
      <formula>NOT(ISERROR(SEARCH("Not",D7)))</formula>
    </cfRule>
  </conditionalFormatting>
  <pageMargins left="0.75" right="0.75" top="1" bottom="1" header="0.5" footer="0.5"/>
</worksheet>
</file>

<file path=xl/worksheets/sheet2.xml><?xml version="1.0" encoding="utf-8"?>
<worksheet xmlns="http://schemas.openxmlformats.org/spreadsheetml/2006/main">
  <sheetPr>
    <outlinePr summaryBelow="1" summaryRight="1"/>
    <pageSetUpPr/>
  </sheetPr>
  <dimension ref="A1:O15"/>
  <sheetViews>
    <sheetView tabSelected="1" zoomScale="85" zoomScaleNormal="85" workbookViewId="0">
      <pane ySplit="1" topLeftCell="A3" activePane="bottomLeft" state="frozen"/>
      <selection pane="bottomLeft" activeCell="G9" sqref="G9"/>
    </sheetView>
  </sheetViews>
  <sheetFormatPr baseColWidth="8" defaultRowHeight="14.4"/>
  <cols>
    <col width="22" customWidth="1" style="5" min="1" max="1"/>
    <col width="12.88671875" customWidth="1" style="5" min="2" max="2"/>
    <col width="30" customWidth="1" style="5" min="3" max="3"/>
    <col width="8.44140625" customWidth="1" style="5" min="4" max="4"/>
    <col width="48.5546875" customWidth="1" style="24" min="5" max="5"/>
    <col width="48.5546875" customWidth="1" style="23" min="6" max="6"/>
    <col width="74.88671875" customWidth="1" style="23" min="7" max="7"/>
    <col width="76.44140625" customWidth="1" style="23" min="8" max="8"/>
    <col width="59.88671875" customWidth="1" style="23" min="9" max="10"/>
    <col width="48" customWidth="1" style="5" min="11" max="11"/>
    <col width="10" customWidth="1" style="46" min="12" max="12"/>
    <col width="11.6640625" customWidth="1" style="46" min="13" max="13"/>
    <col width="22" customWidth="1" style="46" min="14" max="14"/>
    <col width="54.33203125" customWidth="1" style="13" min="15" max="15"/>
  </cols>
  <sheetData>
    <row r="1" ht="28.2" customHeight="1" s="46">
      <c r="A1" s="27" t="inlineStr">
        <is>
          <t>Block</t>
        </is>
      </c>
      <c r="B1" s="28" t="inlineStr">
        <is>
          <t>Control ID</t>
        </is>
      </c>
      <c r="C1" s="28" t="inlineStr">
        <is>
          <t>Control Name</t>
        </is>
      </c>
      <c r="D1" s="28" t="inlineStr">
        <is>
          <t>STATUS</t>
        </is>
      </c>
      <c r="E1" s="29" t="inlineStr">
        <is>
          <t>What</t>
        </is>
      </c>
      <c r="F1" s="28" t="inlineStr">
        <is>
          <t>Why</t>
        </is>
      </c>
      <c r="G1" s="28" t="inlineStr">
        <is>
          <t>How</t>
        </is>
      </c>
      <c r="H1" s="28" t="inlineStr">
        <is>
          <t>What We Saw</t>
        </is>
      </c>
      <c r="I1" s="28" t="inlineStr">
        <is>
          <t>Why It Matters</t>
        </is>
      </c>
      <c r="J1" s="28" t="inlineStr">
        <is>
          <t>What You Should Do</t>
        </is>
      </c>
      <c r="K1" s="28" t="inlineStr">
        <is>
          <t>Data Source</t>
        </is>
      </c>
      <c r="L1" s="28" t="inlineStr">
        <is>
          <t>Impact</t>
        </is>
      </c>
      <c r="M1" s="28" t="inlineStr">
        <is>
          <t>Importance</t>
        </is>
      </c>
      <c r="N1" s="28" t="inlineStr">
        <is>
          <t>Priority</t>
        </is>
      </c>
      <c r="O1" s="30" t="inlineStr">
        <is>
          <t>Notes/Intent</t>
        </is>
      </c>
    </row>
    <row r="2" ht="55.2" customHeight="1" s="46">
      <c r="A2" s="31" t="inlineStr">
        <is>
          <t>Client Objective &amp; Success Criteria</t>
        </is>
      </c>
      <c r="B2" s="3" t="inlineStr">
        <is>
          <t>C001</t>
        </is>
      </c>
      <c r="C2" s="32" t="inlineStr">
        <is>
          <t>Objective Clearly Defined</t>
        </is>
      </c>
      <c r="D2" s="3" t="inlineStr">
        <is>
          <t>OK</t>
        </is>
      </c>
      <c r="E2" s="39" t="inlineStr">
        <is>
          <t>Verify whether the primary account objective is clearly documented with a measurable business outcome.</t>
        </is>
      </c>
      <c r="F2" s="32" t="inlineStr">
        <is>
          <t>Mastery starts with knowing what success looks like for the client and how it should be measured.</t>
        </is>
      </c>
      <c r="G2" s="39" t="inlineStr">
        <is>
          <t>Read AY7 in 38_Client_Success_Insights_Repo for the objective narrative. Cross-check Primary_Objective__c in 55_Salesforce_Consolidated. Check that the text references a business outcome (sales, revenue, ROAS, TACoS, market share) and a measurable anchor (a number or KPI). Flag if purely tactical actions are described instead of a business goal.</t>
        </is>
      </c>
      <c r="H2" s="32" t="inlineStr">
        <is>
          <t>Project data defines daily target spend as {daily_target_spend}, target ROAS as {target_roas}, target ACoS as {target_acos}, and target TACoS as {target_tacos}. Objective context documented in CS Notes: {objective_context}.</t>
        </is>
      </c>
      <c r="I2" s="32" t="inlineStr">
        <is>
          <t>Without clearly documented targets and context, the account cannot be assessed against the right objective or managed toward a shared outcome.</t>
        </is>
      </c>
      <c r="J2" s="32" t="inlineStr">
        <is>
          <t xml:space="preserve">Update your CSP - Be more objective </t>
        </is>
      </c>
      <c r="K2" s="39" t="inlineStr">
        <is>
          <t>38_Client_Success_Insights_Repo!AY7 + 55_Salesforce_Consolidated!Primary_Objective__c</t>
        </is>
      </c>
      <c r="L2" s="3">
        <f>VLOOKUP(Table1[[#This Row],[Importance]],'Logic and Calculation'!$H$3:$J$12,3,FALSE)</f>
        <v/>
      </c>
      <c r="M2" s="33" t="n">
        <v>10</v>
      </c>
      <c r="N2" s="3">
        <f>VLOOKUP(Table1[[#This Row],[Importance]],'Logic and Calculation'!$H$3:$J$12,2,FALSE)</f>
        <v/>
      </c>
      <c r="O2" s="34" t="inlineStr">
        <is>
          <t>Use project targets + CS Notes to infer the true objective when no separate objective field exists.</t>
        </is>
      </c>
    </row>
    <row r="3" ht="55.2" customHeight="1" s="46">
      <c r="A3" s="31" t="inlineStr">
        <is>
          <t>Client Objective &amp; Success Criteria</t>
        </is>
      </c>
      <c r="B3" s="3" t="inlineStr">
        <is>
          <t>C002</t>
        </is>
      </c>
      <c r="C3" s="32" t="inlineStr">
        <is>
          <t>Objective vs Near-Term Alignment</t>
        </is>
      </c>
      <c r="D3" s="3" t="inlineStr">
        <is>
          <t>OK</t>
        </is>
      </c>
      <c r="E3" s="39" t="inlineStr">
        <is>
          <t>Verify whether the near-term context supports the primary objective and covers the required dimensions.</t>
        </is>
      </c>
      <c r="F3" s="32" t="inlineStr">
        <is>
          <t>Short-term actions should reinforce, not contradict, the primary account objective.</t>
        </is>
      </c>
      <c r="G3" s="39" t="inlineStr">
        <is>
          <t>Read AM7 in 38_Client_Success_Insights_Repo. If empty, fall back to Near_Term_3_Month_Considerations__c in 55_Salesforce_Consolidated. Check 5 dimensions: objective language, KPI reference (or Primary_Spend_KPI__c in tab 55), constraint language, timeframe reference, and narrative depth (15+ words). Sixth check: Near_Term_and_Primary_Objective_Conflict__c in tab 55 (Yes/No). Timeframe is a hard gate for OK.</t>
        </is>
      </c>
      <c r="H3" s="32" t="inlineStr">
        <is>
          <t>Project targets indicate {objective_direction}, while near-term priorities are documented as QBR priority {qbr_priority} with plan {qbr_plan}, and BFCM priority {bfcm_priority} with plan {bfcm_plan}. Alignment result: {objective_alignment_result}.</t>
        </is>
      </c>
      <c r="I3" s="32" t="inlineStr">
        <is>
          <t>If the near-term plan conflicts with the KPI targets or documented objective, execution can become inconsistent and weaken strategic ownership.</t>
        </is>
      </c>
      <c r="J3" s="32" t="inlineStr">
        <is>
          <t>Update your CSP - Utilize KPIS and timeframe as metrics of success</t>
        </is>
      </c>
      <c r="K3" s="39" t="inlineStr">
        <is>
          <t>38_Client_Success_Insights_Repo!AM7 + 55_Salesforce_Consolidated!Near_Term_3_Month_Considerations__c; Near_Term_and_Primary_Objective_Conflict__c; Primary_Spend_KPI__c</t>
        </is>
      </c>
      <c r="L3" s="3">
        <f>VLOOKUP(Table1[[#This Row],[Importance]],'Logic and Calculation'!$H$3:$J$12,3,FALSE)</f>
        <v/>
      </c>
      <c r="M3" s="33" t="n">
        <v>8</v>
      </c>
      <c r="N3" s="3">
        <f>VLOOKUP(Table1[[#This Row],[Importance]],'Logic and Calculation'!$H$3:$J$12,2,FALSE)</f>
        <v/>
      </c>
      <c r="O3" s="34" t="inlineStr">
        <is>
          <t>Use for growth-vs-efficiency tradeoffs and seasonal planning conflicts.</t>
        </is>
      </c>
    </row>
    <row r="4" ht="55.2" customHeight="1" s="46">
      <c r="A4" s="31" t="inlineStr">
        <is>
          <t>Account Context Understanding</t>
        </is>
      </c>
      <c r="B4" s="3" t="inlineStr">
        <is>
          <t>C003</t>
        </is>
      </c>
      <c r="C4" s="32" t="inlineStr">
        <is>
          <t>Account Challenges Documented</t>
        </is>
      </c>
      <c r="D4" s="3" t="inlineStr">
        <is>
          <t>OK</t>
        </is>
      </c>
      <c r="E4" s="39" t="inlineStr">
        <is>
          <t>Verify whether the current account blockers and risks are clearly documented.</t>
        </is>
      </c>
      <c r="F4" s="32" t="inlineStr">
        <is>
          <t>A CSM cannot demonstrate mastery without understanding what is limiting account performance or stability.</t>
        </is>
      </c>
      <c r="G4" s="39" t="inlineStr">
        <is>
          <t>Read BN7 in 38_Client_Success_Insights_Repo for the challenges narrative. Cross-check Current_Challenges__c in 55_Salesforce_Consolidated. Check that content describes real blockers using barrier language (risk, inventory, pressure, competition, etc.) with 12+ words. Flag if the field contains metric targets instead of challenges.</t>
        </is>
      </c>
      <c r="H4" s="32" t="inlineStr">
        <is>
          <t>Current account challenges documented in project data are: {challenge_summary}. At-risk flag = {at_risk_flag}; risk notes = {risk_notes}.</t>
        </is>
      </c>
      <c r="I4" s="32" t="inlineStr">
        <is>
          <t>Understanding the real blockers helps CoE focus on the most relevant recommendations and avoids treating symptoms instead of causes.</t>
        </is>
      </c>
      <c r="J4" s="32" t="inlineStr">
        <is>
          <t xml:space="preserve">Update your CSP </t>
        </is>
      </c>
      <c r="K4" s="39" t="inlineStr">
        <is>
          <t>38_Client_Success_Insights_Repo!BN7 + 55_Salesforce_Consolidated!Current_Challenges__c</t>
        </is>
      </c>
      <c r="L4" s="3">
        <f>VLOOKUP(Table1[[#This Row],[Importance]],'Logic and Calculation'!$H$3:$J$12,3,FALSE)</f>
        <v/>
      </c>
      <c r="M4" s="33" t="n">
        <v>9</v>
      </c>
      <c r="N4" s="3">
        <f>VLOOKUP(Table1[[#This Row],[Importance]],'Logic and Calculation'!$H$3:$J$12,2,FALSE)</f>
        <v/>
      </c>
      <c r="O4" s="34" t="inlineStr">
        <is>
          <t>Look for pricing, inventory, stakeholder, budget, profitability, or execution blockers.</t>
        </is>
      </c>
    </row>
    <row r="5" ht="55.2" customHeight="1" s="46">
      <c r="A5" s="31" t="inlineStr">
        <is>
          <t>Account Context Understanding</t>
        </is>
      </c>
      <c r="B5" s="3" t="inlineStr">
        <is>
          <t>C004</t>
        </is>
      </c>
      <c r="C5" s="32" t="inlineStr">
        <is>
          <t>Seasonality Awareness</t>
        </is>
      </c>
      <c r="D5" s="3" t="inlineStr">
        <is>
          <t>OK</t>
        </is>
      </c>
      <c r="E5" s="39" t="inlineStr">
        <is>
          <t>Verify whether seasonal patterns affecting demand, pacing, or performance are recognized and documented.</t>
        </is>
      </c>
      <c r="F5" s="32" t="inlineStr">
        <is>
          <t>Seasonality changes demand patterns, budget pacing, and the expected balance between scale and efficiency.</t>
        </is>
      </c>
      <c r="G5" s="39" t="inlineStr">
        <is>
          <t>Parse month and quarter references from AM7 (38_Client_Success_Insights_Repo) as the primary seasonality source. Cross-check AY7 and BN7 for supporting seasonal mentions. Consistent references across sources = OK. Source has seasonal signal but narrative does not = FLAG. Narrative mentions seasonality but source does not = PARTIAL. No signal anywhere = OK (non-seasonal account).</t>
        </is>
      </c>
      <c r="H5" s="32" t="inlineStr">
        <is>
          <t>Seasonality references identified include {seasonality_notes}. Recent trend pattern observed: {seasonality_pattern}.</t>
        </is>
      </c>
      <c r="I5" s="32" t="inlineStr">
        <is>
          <t>If seasonality is not understood, the account may be evaluated or managed against the wrong expectations, timing, and spend profile.</t>
        </is>
      </c>
      <c r="J5" s="32" t="inlineStr">
        <is>
          <t xml:space="preserve">Update your CSP or Verifcy the seasonality on the account </t>
        </is>
      </c>
      <c r="K5" s="39" t="inlineStr">
        <is>
          <t>38_Client_Success_Insights_Repo!AM7 + AY7 + BN7</t>
        </is>
      </c>
      <c r="L5" s="3">
        <f>VLOOKUP(Table1[[#This Row],[Importance]],'Logic and Calculation'!$H$3:$J$12,3,FALSE)</f>
        <v/>
      </c>
      <c r="M5" s="33" t="n">
        <v>6</v>
      </c>
      <c r="N5" s="3">
        <f>VLOOKUP(Table1[[#This Row],[Importance]],'Logic and Calculation'!$H$3:$J$12,2,FALSE)</f>
        <v/>
      </c>
      <c r="O5" s="34" t="inlineStr">
        <is>
          <t>Use this when notes reference launches, peak season, promotions, or cyclical category demand.</t>
        </is>
      </c>
    </row>
    <row r="6" ht="55.2" customHeight="1" s="46">
      <c r="A6" s="31" t="inlineStr">
        <is>
          <t>Account Context Understanding</t>
        </is>
      </c>
      <c r="B6" s="3" t="inlineStr">
        <is>
          <t>C005</t>
        </is>
      </c>
      <c r="C6" s="32" t="inlineStr">
        <is>
          <t>Operational Constraints Awareness</t>
        </is>
      </c>
      <c r="D6" s="3" t="inlineStr">
        <is>
          <t>OK</t>
        </is>
      </c>
      <c r="E6" s="39" t="inlineStr">
        <is>
          <t>Verify whether operational constraints affecting performance are documented and acknowledged.</t>
        </is>
      </c>
      <c r="F6" s="32" t="inlineStr">
        <is>
          <t>Inventory, pricing, buy box, and similar operational issues materially affect advertising outcomes and strategic choices.</t>
        </is>
      </c>
      <c r="G6" s="39" t="inlineStr">
        <is>
          <t>Read Operational_Constraints__c from 37_Gong_Call_Insights_for_Sales. Check whether the field is populated with a meaningful description. Field empty or containing only 'none', 'n/a', or similar filler → OK (no constraint assumed). Field populated but fewer than 6 words → PARTIAL (add more detail so any reviewer understands the limit). Field populated with a clear description → OK. No keyword scanning is applied — only the formal field is checked.</t>
        </is>
      </c>
      <c r="H6" s="32" t="inlineStr">
        <is>
          <t>Operational constraints identified in the account narrative include: {operational_constraints}. Supporting performance context: {constraint_performance_context}.</t>
        </is>
      </c>
      <c r="I6" s="32" t="inlineStr">
        <is>
          <t>If operational blockers are not recognized, performance issues may be misdiagnosed as purely media or strategy problems.</t>
        </is>
      </c>
      <c r="J6" s="32" t="inlineStr">
        <is>
          <t xml:space="preserve">Update your CSP </t>
        </is>
      </c>
      <c r="K6" s="39" t="inlineStr">
        <is>
          <t>38_Client_Success_Insights_Repo!AL7 (Yes/No) + narrative cross-check in AY7; AM7; BN7</t>
        </is>
      </c>
      <c r="L6" s="3">
        <f>VLOOKUP(Table1[[#This Row],[Importance]],'Logic and Calculation'!$H$3:$J$12,3,FALSE)</f>
        <v/>
      </c>
      <c r="M6" s="33" t="n">
        <v>8</v>
      </c>
      <c r="N6" s="3">
        <f>VLOOKUP(Table1[[#This Row],[Importance]],'Logic and Calculation'!$H$3:$J$12,2,FALSE)</f>
        <v/>
      </c>
      <c r="O6" s="34" t="inlineStr">
        <is>
          <t>Use for inventory, buy box, listing, margin, and pricing constraints.</t>
        </is>
      </c>
    </row>
    <row r="7" ht="55.2" customHeight="1" s="46">
      <c r="A7" s="31" t="inlineStr">
        <is>
          <t>Strategy &amp; Journey Ownership</t>
        </is>
      </c>
      <c r="B7" s="3" t="inlineStr">
        <is>
          <t>C006</t>
        </is>
      </c>
      <c r="C7" s="32" t="inlineStr">
        <is>
          <t>Client Journey Map</t>
        </is>
      </c>
      <c r="D7" s="3" t="inlineStr">
        <is>
          <t>OK</t>
        </is>
      </c>
      <c r="E7" s="39" t="inlineStr">
        <is>
          <t>Verify whether a Client Journey Map exists and is properly structured with active stages.</t>
        </is>
      </c>
      <c r="F7" s="32" t="inlineStr">
        <is>
          <t>A strong CSM should know not only the current state, but also what should happen next and why.</t>
        </is>
      </c>
      <c r="G7" s="39" t="inlineStr">
        <is>
          <t>Check H7 in 39_Client_Journey_Insights_Data for CJM presence. If tab 55 has stage data, evaluate: (1) minimum 3 stages, (2) exactly 1 In Progress, 1 Next, at least 1 Planned, (3) Strategy field populated for every active stage, (4) Introduction date before Completion date; no Next/Planned stages with past Completion dates. 0 issues = OK. 1-2 issues = PARTIAL. 3+ issues = FLAG.</t>
        </is>
      </c>
      <c r="H7" s="32" t="inlineStr">
        <is>
          <t>Documented roadmap includes QBR priority {qbr_priority} with plan {qbr_plan}, BFCM priority {bfcm_priority} with plan {bfcm_plan}, and broader strategy notes: {strategy_notes}.</t>
        </is>
      </c>
      <c r="I7" s="32" t="inlineStr">
        <is>
          <t>A clear roadmap improves strategic continuity and shows that the CSM understands how the account should evolve over time.</t>
        </is>
      </c>
      <c r="J7" s="32" t="inlineStr">
        <is>
          <t>Create your CJM</t>
        </is>
      </c>
      <c r="K7" s="39" t="inlineStr">
        <is>
          <t>39_Client_Journey_Insights_Data!H7 + 55_Salesforce_Consolidated!StatusS1-4__c; StrategyS1-4__c; IntroductionDateS1-4__c; ExecutionDateS1-4__c</t>
        </is>
      </c>
      <c r="L7" s="3">
        <f>VLOOKUP(Table1[[#This Row],[Importance]],'Logic and Calculation'!$H$3:$J$12,3,FALSE)</f>
        <v/>
      </c>
      <c r="M7" s="33" t="n">
        <v>8</v>
      </c>
      <c r="N7" s="3">
        <f>VLOOKUP(Table1[[#This Row],[Importance]],'Logic and Calculation'!$H$3:$J$12,2,FALSE)</f>
        <v/>
      </c>
      <c r="O7" s="34" t="inlineStr">
        <is>
          <t>Primary roadmap control until journey tabs become consistently populated.</t>
        </is>
      </c>
    </row>
    <row r="8" ht="48" customHeight="1" s="46">
      <c r="A8" s="31" t="inlineStr">
        <is>
          <t>Client Engagement &amp; Communication</t>
        </is>
      </c>
      <c r="B8" s="3" t="inlineStr">
        <is>
          <t>C007</t>
        </is>
      </c>
      <c r="C8" s="32" t="inlineStr">
        <is>
          <t>Narrative Consistency</t>
        </is>
      </c>
      <c r="D8" s="3" t="inlineStr">
        <is>
          <t>OK</t>
        </is>
      </c>
      <c r="E8" s="39" t="inlineStr">
        <is>
          <t>Verify whether ACoS and TACoS constraint and target fields are consistent and internally logical.</t>
        </is>
      </c>
      <c r="F8" s="32" t="inlineStr">
        <is>
          <t>A strong CSM should maintain one coherent account story across targets, risks, and observed performance.</t>
        </is>
      </c>
      <c r="G8" s="39" t="inlineStr">
        <is>
          <t>Read ACoS constraint from O7 and TACoS constraint from AX7 in 38_Client_Success_Insights_Repo. Read ACoS target from proj_j and TACoS target from proj_k in 54_Project_Dataset_on_SF. Use Primary_Spend_KPI__c from 55_Salesforce_Consolidated to gate which pair is required: ACOS/ROAS accounts need ACoS constraint only; TACOS accounts need TACoS constraint only. Check: target must not exceed constraint; TACoS must be below ACoS. Cross-check tab 55 constraint values against tab 38 — mismatch over 2pp is flagged.</t>
        </is>
      </c>
      <c r="H8" s="32" t="inlineStr">
        <is>
          <t>Documented narrative indicates {documented_narrative}. Current KPI profile shows ACoS {current_acos}, TACoS {current_tacos}, spend {current_spend}, and sales {current_sales}. Consistency result: {narrative_consistency_result}.</t>
        </is>
      </c>
      <c r="I8" s="32" t="inlineStr">
        <is>
          <t>Consistency between the documented story and the KPI reality indicates strong ownership; contradictions suggest weak control of the account narrative.</t>
        </is>
      </c>
      <c r="J8" s="32" t="inlineStr">
        <is>
          <t xml:space="preserve">Make sure we have the CSP and Project information Updated </t>
        </is>
      </c>
      <c r="K8" s="39" t="inlineStr">
        <is>
          <t>38_Client_Success_Insights_Repo!O7; AX7 + 54_Project_Dataset_on_SF!J7; K7 + 55_Salesforce_Consolidated!ACOS_Constraint__c; TACOS_Constraint__c; Primary_Spend_KPI__c</t>
        </is>
      </c>
      <c r="L8" s="3">
        <f>VLOOKUP(Table1[[#This Row],[Importance]],'Logic and Calculation'!$H$3:$J$12,3,FALSE)</f>
        <v/>
      </c>
      <c r="M8" s="33" t="n">
        <v>9</v>
      </c>
      <c r="N8" s="3">
        <f>VLOOKUP(Table1[[#This Row],[Importance]],'Logic and Calculation'!$H$3:$J$12,2,FALSE)</f>
        <v/>
      </c>
      <c r="O8" s="34" t="inlineStr">
        <is>
          <t>Important contradiction check between targets, notes, and actual performance.</t>
        </is>
      </c>
    </row>
    <row r="9" ht="50.4" customHeight="1" s="46">
      <c r="A9" s="35" t="inlineStr">
        <is>
          <t>Account Context Understanding</t>
        </is>
      </c>
      <c r="B9" s="3" t="inlineStr">
        <is>
          <t>C008</t>
        </is>
      </c>
      <c r="C9" s="26" t="inlineStr">
        <is>
          <t>Sales Concentration Matches Account Story</t>
        </is>
      </c>
      <c r="D9" s="25" t="inlineStr">
        <is>
          <t>OK</t>
        </is>
      </c>
      <c r="E9" s="41" t="inlineStr">
        <is>
          <t>Verify whether sales concentration across parent ASINs is understood and reflected in the documented account story.</t>
        </is>
      </c>
      <c r="F9" s="25" t="inlineStr">
        <is>
          <t>Highly concentrated accounts require different prioritization and risk management than broad catalogs.</t>
        </is>
      </c>
      <c r="G9" s="40" t="inlineStr">
        <is>
          <t>Calculate concentration from 07_KPIs_by_Parent_ASIN_by_Month: top-1, top-3, top-5 share. Classify as high (top-1 &gt; 50%, top-3 &gt; 75%, or top-5 &gt; 80%), medium, or low. Read concentration label from AU7 in 38_Client_Success_Insights_Repo. If AU7 is empty, read Sales_Concentration__c from 55_Salesforce_Consolidated. Compare documented class to actual class. Flag if they disagree or if neither is populated.</t>
        </is>
      </c>
      <c r="H9" s="25" t="inlineStr">
        <is>
          <t>Top {top_parent_asin_count} parent ASINs represent {sales_concentration_pct}% of total sales in the evaluation window. Alignment with documented narrative: {sales_concentration_alignment}.</t>
        </is>
      </c>
      <c r="I9" s="25" t="inlineStr">
        <is>
          <t>If the CSM does not understand whether sales are concentrated or diversified, product prioritization and protection strategy may be misaligned.</t>
        </is>
      </c>
      <c r="J9" s="25" t="inlineStr">
        <is>
          <t>Revisit the information on CSP</t>
        </is>
      </c>
      <c r="K9" s="40" t="inlineStr">
        <is>
          <t>07_KPIs_by_Parent_ASIN_by_Month + 38_Client_Success_Insights_Repo!AU7 + 55_Salesforce_Consolidated!Sales_Concentration__c</t>
        </is>
      </c>
      <c r="L9" s="3">
        <f>VLOOKUP(Table1[[#This Row],[Importance]],'Logic and Calculation'!$H$3:$J$12,3,FALSE)</f>
        <v/>
      </c>
      <c r="M9" s="33" t="n">
        <v>6</v>
      </c>
      <c r="N9" s="3">
        <f>VLOOKUP(Table1[[#This Row],[Importance]],'Logic and Calculation'!$H$3:$J$12,2,FALSE)</f>
        <v/>
      </c>
      <c r="O9" s="34" t="inlineStr">
        <is>
          <t>Use top-parent concentration as a proxy for strategic focus complexity.</t>
        </is>
      </c>
    </row>
    <row r="10" ht="36" customHeight="1" s="46">
      <c r="A10" s="31" t="inlineStr">
        <is>
          <t>Client Engagement &amp; Communication</t>
        </is>
      </c>
      <c r="B10" s="3" t="inlineStr">
        <is>
          <t>C009</t>
        </is>
      </c>
      <c r="C10" s="32" t="inlineStr">
        <is>
          <t>Client Contact Cadence (last 6 months)</t>
        </is>
      </c>
      <c r="D10" s="25" t="inlineStr">
        <is>
          <t>OK</t>
        </is>
      </c>
      <c r="E10" s="41" t="inlineStr">
        <is>
          <t>Verify whether regular client contact is evidenced through Gong call records.</t>
        </is>
      </c>
      <c r="F10" s="25" t="inlineStr">
        <is>
          <t>Regular contact helps maintain alignment, surface changes early, and reduce narrative gaps before the CoE review.</t>
        </is>
      </c>
      <c r="G10" s="40" t="inlineStr">
        <is>
          <t>Read Gong call dates from 37_Gong_Call_Insights_for_Sales (Gong__Call_End__c). Calculate gap in days between the two most recent calls. Gap ≤ 20 days = OK. Gap 21–45 days = PARTIAL. Gap &gt; 45 days = FLAG. Only one call found = PARTIAL. No calls = FLAG.</t>
        </is>
      </c>
      <c r="H10" s="25" t="inlineStr">
        <is>
          <t>Current review evidence shows QBR priority {qbr_priority}, QBR plan {qbr_plan}, and last project update {project_last_modified}. Documented calls in the last 6 months: {calls_last_6m_if_available}.</t>
        </is>
      </c>
      <c r="I10" s="25" t="inlineStr">
        <is>
          <t>Without evidence of recent contact cadence, it is harder to tell whether the documented account narrative is current and client-informed.</t>
        </is>
      </c>
      <c r="J10" s="25" t="inlineStr">
        <is>
          <t xml:space="preserve">No Calls Recorded on SF - Review Gong info and links with SF/ Have a client calls in less than 30 days </t>
        </is>
      </c>
      <c r="K10" s="40" t="inlineStr">
        <is>
          <t>37_Gong_Call_Insights_for_Sales!Gong__Call_End__c</t>
        </is>
      </c>
      <c r="L10" s="3">
        <f>VLOOKUP(Table1[[#This Row],[Importance]],'Logic and Calculation'!$H$3:$J$12,3,FALSE)</f>
        <v/>
      </c>
      <c r="M10" s="33" t="n">
        <v>5</v>
      </c>
      <c r="N10" s="3">
        <f>VLOOKUP(Table1[[#This Row],[Importance]],'Logic and Calculation'!$H$3:$J$12,2,FALSE)</f>
        <v/>
      </c>
      <c r="O10" s="34" t="inlineStr">
        <is>
          <t>Keep as partial / source-limited until call data is consistently available.</t>
        </is>
      </c>
    </row>
    <row r="11" ht="48" customHeight="1" s="46">
      <c r="A11" s="35" t="inlineStr">
        <is>
          <t>Account Context Understanding</t>
        </is>
      </c>
      <c r="B11" s="3" t="inlineStr">
        <is>
          <t>C010</t>
        </is>
      </c>
      <c r="C11" s="26" t="inlineStr">
        <is>
          <t>Customizations Documented &amp; Justified</t>
        </is>
      </c>
      <c r="D11" s="25" t="inlineStr">
        <is>
          <t>OK</t>
        </is>
      </c>
      <c r="E11" s="41" t="inlineStr">
        <is>
          <t>Verify whether active framework customizations are documented and justified in CS Notes.</t>
        </is>
      </c>
      <c r="F11" s="25" t="inlineStr">
        <is>
          <t>Customizations outside the standard framework should be understood, intentional, and explainable.</t>
        </is>
      </c>
      <c r="G11" s="40" t="inlineStr">
        <is>
          <t>Detect active customizations from framework tabs: unmanaged ASINs (tab 26), timeframe boosts (tab 27), unmanaged budgets (tab 28), global negatives (tab 29), unmanaged campaigns (tabs 31-32), RBO rules (tab 33), product-level ACoS (tab 34), campaign-level ACoS (tab 35). Compare count to mentions in CS_Notes__c (tab 54, col T). All documented = OK. Half or more = PARTIAL. Most undocumented = FLAG.</t>
        </is>
      </c>
      <c r="H11" s="25" t="inlineStr">
        <is>
          <t>Customizations identified in notes / structure include: {customizations_summary}. Structural evidence observed: {structural_customization_evidence}.</t>
        </is>
      </c>
      <c r="I11" s="25" t="inlineStr">
        <is>
          <t>If customizations are not documented and justified, CoE cannot assess whether they are intentional strategic choices or uncontrolled drift.</t>
        </is>
      </c>
      <c r="J11" s="25" t="inlineStr">
        <is>
          <t xml:space="preserve">Revisit your Amazon Project Information </t>
        </is>
      </c>
      <c r="K11" s="40" t="inlineStr">
        <is>
          <t>Tabs 26-35 (personalization detection) + 54_Project_Dataset_on_SF!CS_Notes__c (col T)</t>
        </is>
      </c>
      <c r="L11" s="3">
        <f>VLOOKUP(Table1[[#This Row],[Importance]],'Logic and Calculation'!$H$3:$J$12,3,FALSE)</f>
        <v/>
      </c>
      <c r="M11" s="33" t="n">
        <v>9</v>
      </c>
      <c r="N11" s="3">
        <f>VLOOKUP(Table1[[#This Row],[Importance]],'Logic and Calculation'!$H$3:$J$12,2,FALSE)</f>
        <v/>
      </c>
      <c r="O11" s="34" t="inlineStr">
        <is>
          <t>Use this to capture exceptions, overrides, imports, and unmanaged pockets.</t>
        </is>
      </c>
    </row>
    <row r="12" ht="60" customHeight="1" s="46">
      <c r="A12" s="35" t="inlineStr">
        <is>
          <t>Client Objective &amp; Success Criteria</t>
        </is>
      </c>
      <c r="B12" s="3" t="inlineStr">
        <is>
          <t>C011</t>
        </is>
      </c>
      <c r="C12" s="26" t="inlineStr">
        <is>
          <t>Target Spend / KPI Targets Documented</t>
        </is>
      </c>
      <c r="D12" s="25" t="inlineStr">
        <is>
          <t>OK</t>
        </is>
      </c>
      <c r="E12" s="41" t="inlineStr">
        <is>
          <t>Verify whether spend and ROAS targets are documented and actual performance is within acceptable deviation.</t>
        </is>
      </c>
      <c r="F12" s="25" t="inlineStr">
        <is>
          <t>Mastery requires knowing the target boundaries and KPI guardrails that define success on the account.</t>
        </is>
      </c>
      <c r="G12" s="40" t="inlineStr">
        <is>
          <t>Sub-check 1 (spend pacing): read daily target from proj_h in 54_Project_Dataset_on_SF. If blank, fall back to daily_target_spend__c in 55_Salesforce_Consolidated. Compare to actual daily spend (AdSpend / window days from tab 02). Deviation &lt;= 20% = OK; &lt;= 40% = PARTIAL; else FLAG. Sub-check 2 (ROAS target): read Target_ROAS__c from 55_Salesforce_Consolidated, compare to actual ROAS from tab 02. Same tiers apply. Overall status = worst of both sub-checks.</t>
        </is>
      </c>
      <c r="H12" s="25" t="inlineStr">
        <is>
          <t>Target daily spend = {daily_target_spend}; target ROAS = {target_roas}; target ACoS = {target_acos}; target TACoS = {target_tacos}. Current performance vs targets: {target_gap_summary}.</t>
        </is>
      </c>
      <c r="I12" s="25" t="inlineStr">
        <is>
          <t>If targets are missing or vague, the account cannot be evaluated against the intended objective and the CoE review becomes less precise.</t>
        </is>
      </c>
      <c r="J12" s="25" t="inlineStr">
        <is>
          <t xml:space="preserve">Revisit your Amazon Project Information </t>
        </is>
      </c>
      <c r="K12" s="40" t="inlineStr">
        <is>
          <t>54_Project_Dataset_on_SF!H (daily target) + 55_Salesforce_Consolidated!daily_target_spend__c; Target_ROAS__c + 02_Date_Range_KPIs__Date_Range_!AdSpend; ACoS</t>
        </is>
      </c>
      <c r="L12" s="3">
        <f>VLOOKUP(Table1[[#This Row],[Importance]],'Logic and Calculation'!$H$3:$J$12,3,FALSE)</f>
        <v/>
      </c>
      <c r="M12" s="33" t="n">
        <v>10</v>
      </c>
      <c r="N12" s="3">
        <f>VLOOKUP(Table1[[#This Row],[Importance]],'Logic and Calculation'!$H$3:$J$12,2,FALSE)</f>
        <v/>
      </c>
      <c r="O12" s="34" t="inlineStr">
        <is>
          <t>One of the most objective mastery controls in the new tab set.</t>
        </is>
      </c>
    </row>
    <row r="13" ht="60" customHeight="1" s="46">
      <c r="A13" s="35" t="inlineStr">
        <is>
          <t>Strategy &amp; Journey Ownership</t>
        </is>
      </c>
      <c r="B13" s="3" t="inlineStr">
        <is>
          <t>C012</t>
        </is>
      </c>
      <c r="C13" s="26" t="inlineStr">
        <is>
          <t>Tagging / Segmentation Logic Clear</t>
        </is>
      </c>
      <c r="D13" s="25" t="inlineStr">
        <is>
          <t>OK</t>
        </is>
      </c>
      <c r="E13" s="41" t="inlineStr">
        <is>
          <t>Verify whether campaign tags show intentional product segmentation with both a bestseller label and a category or tier label.</t>
        </is>
      </c>
      <c r="F13" s="25" t="inlineStr">
        <is>
          <t>Tagging and segmentation reveal whether the account structure supports the intended strategy and product focus.</t>
        </is>
      </c>
      <c r="G13" s="40" t="inlineStr">
        <is>
          <t>Read Tag1-Tag5 from 14_Campaign_Performance_by_Adve. Check two dimensions: (1) bestseller label — tag matches: bestseller, hero, top perf, winner, core, priority; (2) category/tier label — tag matches a product type (supplement, skincare, pet, etc.), performance tier (tier 1, tier1, etc.), or segmentation pattern (mid seller, slow mover, high conversion, etc.). Both present = OK. One missing = PARTIAL. Neither = FLAG with tag count note.</t>
        </is>
      </c>
      <c r="H13" s="25" t="inlineStr">
        <is>
          <t>Observed tagging / segmentation patterns include {tagging_summary}. Potential structure or tagging issues identified: {tagging_issues}.</t>
        </is>
      </c>
      <c r="I13" s="25" t="inlineStr">
        <is>
          <t>If tagging and segmentation do not reflect the stated strategy, execution quality and strategic clarity are both reduced.</t>
        </is>
      </c>
      <c r="J13" s="25" t="inlineStr">
        <is>
          <t>Revisit Tags</t>
        </is>
      </c>
      <c r="K13" s="40" t="inlineStr">
        <is>
          <t>14_Campaign_Performance_by_Adve!Tag1; Tag2; Tag3; Tag4; Tag5</t>
        </is>
      </c>
      <c r="L13" s="3">
        <f>VLOOKUP(Table1[[#This Row],[Importance]],'Logic and Calculation'!$H$3:$J$12,3,FALSE)</f>
        <v/>
      </c>
      <c r="M13" s="33" t="n">
        <v>6</v>
      </c>
      <c r="N13" s="3">
        <f>VLOOKUP(Table1[[#This Row],[Importance]],'Logic and Calculation'!$H$3:$J$12,2,FALSE)</f>
        <v/>
      </c>
      <c r="O13" s="34" t="inlineStr">
        <is>
          <t>Good bridge control between mastery and framework logic.</t>
        </is>
      </c>
    </row>
    <row r="14" ht="28.8" customHeight="1" s="46">
      <c r="A14" s="35" t="inlineStr">
        <is>
          <t>On Call</t>
        </is>
      </c>
      <c r="B14" s="3" t="inlineStr">
        <is>
          <t>C013</t>
        </is>
      </c>
      <c r="C14" s="26" t="inlineStr">
        <is>
          <t>On-Call Interaction Quality</t>
        </is>
      </c>
      <c r="D14" s="25" t="inlineStr">
        <is>
          <t>OK</t>
        </is>
      </c>
      <c r="E14" s="26" t="inlineStr">
        <is>
          <t>Verify whether the CSM responds confidently and directly to account questions during the CoE call.</t>
        </is>
      </c>
      <c r="F14" s="25" t="inlineStr">
        <is>
          <t>Live interaction quality is strong evidence of whether the CSM actually knows the account beyond what is written in the system.</t>
        </is>
      </c>
      <c r="G14" s="25" t="inlineStr">
        <is>
          <t>Assess the CoE call for response speed, confidence, specificity, and ability to answer follow-up questions without overreliance on generic statements.</t>
        </is>
      </c>
      <c r="H14" s="25" t="inlineStr">
        <is>
          <t>During the CoE call, the CSM demonstrated {interaction_quality} when responding to account questions. Examples observed: {interaction_examples}.</t>
        </is>
      </c>
      <c r="I14" s="25" t="inlineStr">
        <is>
          <t>A CSM who understands the account should be able to respond clearly and confidently when questioned on the live review call.</t>
        </is>
      </c>
      <c r="J14" s="25" t="inlineStr">
        <is>
          <t xml:space="preserve">Be prepared for the next CoE Analysis Calls </t>
        </is>
      </c>
      <c r="K14" s="25" t="inlineStr">
        <is>
          <t>Live CoE Review Call / Reviewer Observation</t>
        </is>
      </c>
      <c r="L14" s="3">
        <f>VLOOKUP(Table1[[#This Row],[Importance]],'Logic and Calculation'!$H$3:$J$12,3,FALSE)</f>
        <v/>
      </c>
      <c r="M14" s="33" t="n">
        <v>7</v>
      </c>
      <c r="N14" s="3">
        <f>VLOOKUP(Table1[[#This Row],[Importance]],'Logic and Calculation'!$H$3:$J$12,2,FALSE)</f>
        <v/>
      </c>
      <c r="O14" s="34" t="inlineStr">
        <is>
          <t>Manual reviewer control; not sourced from Databricks.</t>
        </is>
      </c>
    </row>
    <row r="15" ht="28.8" customHeight="1" s="46">
      <c r="A15" s="35" t="inlineStr">
        <is>
          <t>On Call</t>
        </is>
      </c>
      <c r="B15" s="3" t="inlineStr">
        <is>
          <t>C014</t>
        </is>
      </c>
      <c r="C15" s="26" t="inlineStr">
        <is>
          <t>On-Call Explanation Quality</t>
        </is>
      </c>
      <c r="D15" s="25" t="inlineStr">
        <is>
          <t>OK</t>
        </is>
      </c>
      <c r="E15" s="26" t="inlineStr">
        <is>
          <t>Verify whether the CSM can explain why the account is being managed the way it is.</t>
        </is>
      </c>
      <c r="F15" s="25" t="inlineStr">
        <is>
          <t>Mastery is not only knowing what is happening, but also being able to explain the rationale behind the strategy and tradeoffs.</t>
        </is>
      </c>
      <c r="G15" s="25" t="inlineStr">
        <is>
          <t>During the CoE call, assess whether the CSM explains the logic behind targeting, pacing, structure, priorities, and deviations from the standard approach.</t>
        </is>
      </c>
      <c r="H15" s="25" t="inlineStr">
        <is>
          <t>The CSM explained the current strategy as {call_strategy_explanation}. Explanation quality assessed as {explanation_quality}.</t>
        </is>
      </c>
      <c r="I15" s="25" t="inlineStr">
        <is>
          <t>If the CSM cannot explain the reasoning behind the strategy, ownership is weak even if some documentation exists.</t>
        </is>
      </c>
      <c r="J15" s="25" t="inlineStr">
        <is>
          <t xml:space="preserve">Be prepared for the next CoE Analysis Calls </t>
        </is>
      </c>
      <c r="K15" s="25" t="inlineStr">
        <is>
          <t>Live CoE Review Call / Reviewer Observation</t>
        </is>
      </c>
      <c r="L15" s="3">
        <f>VLOOKUP(Table1[[#This Row],[Importance]],'Logic and Calculation'!$H$3:$J$12,3,FALSE)</f>
        <v/>
      </c>
      <c r="M15" s="33" t="n">
        <v>8</v>
      </c>
      <c r="N15" s="3">
        <f>VLOOKUP(Table1[[#This Row],[Importance]],'Logic and Calculation'!$H$3:$J$12,2,FALSE)</f>
        <v/>
      </c>
      <c r="O15" s="34" t="inlineStr">
        <is>
          <t>Manual reviewer control focused on reasoning quality.</t>
        </is>
      </c>
    </row>
  </sheetData>
  <conditionalFormatting sqref="D2:D15">
    <cfRule type="cellIs" priority="4" operator="equal" dxfId="2" stopIfTrue="1">
      <formula>"OK"</formula>
    </cfRule>
    <cfRule type="cellIs" priority="5" operator="equal" dxfId="1" stopIfTrue="1">
      <formula>"PARTIAL"</formula>
    </cfRule>
    <cfRule type="cellIs" priority="6" operator="equal" dxfId="0" stopIfTrue="1">
      <formula>"FLAG"</formula>
    </cfRule>
  </conditionalFormatting>
  <dataValidations count="1">
    <dataValidation sqref="D2:D15" showDropDown="0" showInputMessage="0" showErrorMessage="0" allowBlank="1" type="list">
      <formula1>"OK,PARTIAL,FLAG"</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M21"/>
  <sheetViews>
    <sheetView workbookViewId="0">
      <pane ySplit="7" topLeftCell="A8" activePane="bottomLeft" state="frozen"/>
      <selection pane="bottomLeft" activeCell="M22" sqref="M22"/>
    </sheetView>
  </sheetViews>
  <sheetFormatPr baseColWidth="8" defaultRowHeight="14.4"/>
  <cols>
    <col width="25" customWidth="1" style="46" min="1" max="1"/>
    <col width="20" customWidth="1" style="46" min="2" max="2"/>
    <col width="34" customWidth="1" style="46" min="3" max="3"/>
    <col width="10" customWidth="1" style="46" min="4" max="5"/>
    <col width="16" customWidth="1" style="46" min="6" max="6"/>
    <col width="12" customWidth="1" style="46" min="8" max="8"/>
    <col width="22" customWidth="1" style="46" min="9" max="9"/>
    <col width="18" customWidth="1" style="46" min="10" max="10"/>
    <col width="22.21875" customWidth="1" style="46" min="12" max="12"/>
    <col width="15.88671875" customWidth="1" style="46" min="13" max="13"/>
  </cols>
  <sheetData>
    <row r="1">
      <c r="A1" s="2" t="inlineStr">
        <is>
          <t>Control ID</t>
        </is>
      </c>
      <c r="B1" s="2" t="inlineStr">
        <is>
          <t>Block</t>
        </is>
      </c>
      <c r="C1" s="2" t="inlineStr">
        <is>
          <t>Control Name</t>
        </is>
      </c>
      <c r="D1" s="2" t="inlineStr">
        <is>
          <t>STATUS</t>
        </is>
      </c>
      <c r="E1" s="2" t="inlineStr">
        <is>
          <t>Priority</t>
        </is>
      </c>
      <c r="F1" s="2" t="inlineStr">
        <is>
          <t>Penalty Applied</t>
        </is>
      </c>
    </row>
    <row r="2">
      <c r="A2" t="inlineStr">
        <is>
          <t>Start Score</t>
        </is>
      </c>
      <c r="B2" t="n">
        <v>100</v>
      </c>
      <c r="D2" t="inlineStr">
        <is>
          <t>Bands</t>
        </is>
      </c>
      <c r="H2" s="4" t="inlineStr">
        <is>
          <t>Importance</t>
        </is>
      </c>
      <c r="I2" s="4" t="inlineStr">
        <is>
          <t>Priority (Points Lost)</t>
        </is>
      </c>
      <c r="J2" s="4" t="inlineStr">
        <is>
          <t>Impact Magnitude</t>
        </is>
      </c>
      <c r="L2" s="11" t="inlineStr">
        <is>
          <t>Mastery Grade</t>
        </is>
      </c>
      <c r="M2" s="11" t="inlineStr">
        <is>
          <t xml:space="preserve">Interpretation </t>
        </is>
      </c>
    </row>
    <row r="3">
      <c r="A3" t="inlineStr">
        <is>
          <t>Total Penalty</t>
        </is>
      </c>
      <c r="B3">
        <f>SUM(F8:F952)</f>
        <v/>
      </c>
      <c r="D3" t="inlineStr">
        <is>
          <t>75–100 = Compliant</t>
        </is>
      </c>
      <c r="H3" t="n">
        <v>10</v>
      </c>
      <c r="I3" t="n">
        <v>-18</v>
      </c>
      <c r="J3" t="inlineStr">
        <is>
          <t>Critical</t>
        </is>
      </c>
      <c r="L3" t="inlineStr">
        <is>
          <t xml:space="preserve">Compliant </t>
        </is>
      </c>
      <c r="M3" t="inlineStr">
        <is>
          <t>The account owner demonstrates a clear understanding of the client objective, account dynamics, and strategic roadmap. Documentation and client communication are consistent, enabling confident strategic decision-making and effective collaboration with CoE.</t>
        </is>
      </c>
    </row>
    <row r="4">
      <c r="A4" t="inlineStr">
        <is>
          <t>Final Score</t>
        </is>
      </c>
      <c r="B4">
        <f>B2+B3</f>
        <v/>
      </c>
      <c r="D4" t="inlineStr">
        <is>
          <t>40–&lt;75 = Needs Attention</t>
        </is>
      </c>
      <c r="H4" t="n">
        <v>9</v>
      </c>
      <c r="I4" t="n">
        <v>-15</v>
      </c>
      <c r="J4" t="inlineStr">
        <is>
          <t>High</t>
        </is>
      </c>
      <c r="L4" t="inlineStr">
        <is>
          <t>Needs Attention</t>
        </is>
      </c>
      <c r="M4" t="inlineStr">
        <is>
          <t>Key elements of the account narrative or strategic context are partially documented or lack clarity. Additional alignment between Salesforce documentation, client discussions, and account strategy is recommended to strengthen account ownership.</t>
        </is>
      </c>
    </row>
    <row r="5">
      <c r="A5" t="inlineStr">
        <is>
          <t>Mastery Grade</t>
        </is>
      </c>
      <c r="B5">
        <f>IF(B4&gt;=75,"Compliant ",IF(AND(B4&lt;=74,B4&gt;=40),"Needs Attention","Not Compliant"))</f>
        <v/>
      </c>
      <c r="D5" t="inlineStr">
        <is>
          <t>&lt;40 = Not Compliant</t>
        </is>
      </c>
      <c r="H5" t="n">
        <v>8</v>
      </c>
      <c r="I5" t="n">
        <v>-13</v>
      </c>
      <c r="J5" t="inlineStr">
        <is>
          <t>High</t>
        </is>
      </c>
      <c r="L5" t="inlineStr">
        <is>
          <t>Not Compliant</t>
        </is>
      </c>
      <c r="M5" t="inlineStr">
        <is>
          <t>Key mastery signals are missing or inconsistent, which limits confidence in account ownership and account-story accuracy.</t>
        </is>
      </c>
    </row>
    <row r="6">
      <c r="A6" t="inlineStr">
        <is>
          <t>Partial weighting</t>
        </is>
      </c>
      <c r="B6" t="inlineStr">
        <is>
          <t>PARTIAL uses 50% of Priority</t>
        </is>
      </c>
      <c r="H6" t="n">
        <v>7</v>
      </c>
      <c r="I6" t="n">
        <v>-11</v>
      </c>
      <c r="J6" t="inlineStr">
        <is>
          <t>Medium</t>
        </is>
      </c>
    </row>
    <row r="7">
      <c r="H7" t="n">
        <v>6</v>
      </c>
      <c r="I7" t="n">
        <v>-9</v>
      </c>
      <c r="J7" t="inlineStr">
        <is>
          <t>Medium</t>
        </is>
      </c>
    </row>
    <row r="8">
      <c r="A8">
        <f>'Account Mastery_Reference'!B2</f>
        <v/>
      </c>
      <c r="B8">
        <f>'Account Mastery_Reference'!A2</f>
        <v/>
      </c>
      <c r="C8">
        <f>'Account Mastery_Reference'!C2</f>
        <v/>
      </c>
      <c r="D8">
        <f>'Account Mastery_Reference'!D2</f>
        <v/>
      </c>
      <c r="E8">
        <f>'Account Mastery_Reference'!N2</f>
        <v/>
      </c>
      <c r="F8">
        <f>IF(OR(D8="FLAG",D8="SYSTEM ERROR"),E8,IF(D8="PARTIAL",E8*0.5,0))</f>
        <v/>
      </c>
      <c r="H8" t="n">
        <v>5</v>
      </c>
      <c r="I8" t="n">
        <v>-7</v>
      </c>
      <c r="J8" t="inlineStr">
        <is>
          <t>Medium</t>
        </is>
      </c>
    </row>
    <row r="9">
      <c r="A9">
        <f>'Account Mastery_Reference'!B3</f>
        <v/>
      </c>
      <c r="B9">
        <f>'Account Mastery_Reference'!A3</f>
        <v/>
      </c>
      <c r="C9">
        <f>'Account Mastery_Reference'!C3</f>
        <v/>
      </c>
      <c r="D9">
        <f>'Account Mastery_Reference'!D3</f>
        <v/>
      </c>
      <c r="E9">
        <f>'Account Mastery_Reference'!N3</f>
        <v/>
      </c>
      <c r="F9">
        <f>IF(OR(D9="FLAG",D9="SYSTEM ERROR"),E9,IF(D9="PARTIAL",E9*0.5,0))</f>
        <v/>
      </c>
      <c r="H9" t="n">
        <v>4</v>
      </c>
      <c r="I9" t="n">
        <v>-5</v>
      </c>
      <c r="J9" t="inlineStr">
        <is>
          <t>Low</t>
        </is>
      </c>
    </row>
    <row r="10">
      <c r="A10">
        <f>'Account Mastery_Reference'!B4</f>
        <v/>
      </c>
      <c r="B10">
        <f>'Account Mastery_Reference'!A4</f>
        <v/>
      </c>
      <c r="C10">
        <f>'Account Mastery_Reference'!C4</f>
        <v/>
      </c>
      <c r="D10">
        <f>'Account Mastery_Reference'!D4</f>
        <v/>
      </c>
      <c r="E10">
        <f>'Account Mastery_Reference'!N4</f>
        <v/>
      </c>
      <c r="F10">
        <f>IF(OR(D10="FLAG",D10="SYSTEM ERROR"),E10,IF(D10="PARTIAL",E10*0.5,0))</f>
        <v/>
      </c>
      <c r="H10" t="n">
        <v>3</v>
      </c>
      <c r="I10" t="n">
        <v>-3</v>
      </c>
      <c r="J10" t="inlineStr">
        <is>
          <t>Low</t>
        </is>
      </c>
    </row>
    <row r="11">
      <c r="A11">
        <f>'Account Mastery_Reference'!B5</f>
        <v/>
      </c>
      <c r="B11">
        <f>'Account Mastery_Reference'!A5</f>
        <v/>
      </c>
      <c r="C11">
        <f>'Account Mastery_Reference'!C5</f>
        <v/>
      </c>
      <c r="D11">
        <f>'Account Mastery_Reference'!D5</f>
        <v/>
      </c>
      <c r="E11">
        <f>'Account Mastery_Reference'!N5</f>
        <v/>
      </c>
      <c r="F11">
        <f>IF(OR(D11="FLAG",D11="SYSTEM ERROR"),E11,IF(D11="PARTIAL",E11*0.5,0))</f>
        <v/>
      </c>
      <c r="H11" t="n">
        <v>2</v>
      </c>
      <c r="I11" t="n">
        <v>-2</v>
      </c>
      <c r="J11" t="inlineStr">
        <is>
          <t>Visibility</t>
        </is>
      </c>
    </row>
    <row r="12">
      <c r="A12">
        <f>'Account Mastery_Reference'!B6</f>
        <v/>
      </c>
      <c r="B12">
        <f>'Account Mastery_Reference'!A6</f>
        <v/>
      </c>
      <c r="C12">
        <f>'Account Mastery_Reference'!C6</f>
        <v/>
      </c>
      <c r="D12">
        <f>'Account Mastery_Reference'!D6</f>
        <v/>
      </c>
      <c r="E12">
        <f>'Account Mastery_Reference'!N6</f>
        <v/>
      </c>
      <c r="F12">
        <f>IF(OR(D12="FLAG",D12="SYSTEM ERROR"),E12,IF(D12="PARTIAL",E12*0.5,0))</f>
        <v/>
      </c>
      <c r="H12" t="n">
        <v>1</v>
      </c>
      <c r="I12" t="n">
        <v>0</v>
      </c>
      <c r="J12" t="inlineStr">
        <is>
          <t>Visibility</t>
        </is>
      </c>
    </row>
    <row r="13">
      <c r="A13">
        <f>'Account Mastery_Reference'!B7</f>
        <v/>
      </c>
      <c r="B13">
        <f>'Account Mastery_Reference'!A7</f>
        <v/>
      </c>
      <c r="C13">
        <f>'Account Mastery_Reference'!C7</f>
        <v/>
      </c>
      <c r="D13">
        <f>'Account Mastery_Reference'!D7</f>
        <v/>
      </c>
      <c r="E13">
        <f>'Account Mastery_Reference'!N7</f>
        <v/>
      </c>
      <c r="F13">
        <f>IF(OR(D13="FLAG",D13="SYSTEM ERROR"),E13,IF(D13="PARTIAL",E13*0.5,0))</f>
        <v/>
      </c>
    </row>
    <row r="14">
      <c r="A14">
        <f>'Account Mastery_Reference'!B8</f>
        <v/>
      </c>
      <c r="B14">
        <f>'Account Mastery_Reference'!A8</f>
        <v/>
      </c>
      <c r="C14">
        <f>'Account Mastery_Reference'!C8</f>
        <v/>
      </c>
      <c r="D14">
        <f>'Account Mastery_Reference'!D8</f>
        <v/>
      </c>
      <c r="E14">
        <f>'Account Mastery_Reference'!N8</f>
        <v/>
      </c>
      <c r="F14">
        <f>IF(OR(D14="FLAG",D14="SYSTEM ERROR"),E14,IF(D14="PARTIAL",E14*0.5,0))</f>
        <v/>
      </c>
    </row>
    <row r="15">
      <c r="A15">
        <f>'Account Mastery_Reference'!B9</f>
        <v/>
      </c>
      <c r="B15">
        <f>'Account Mastery_Reference'!A9</f>
        <v/>
      </c>
      <c r="C15">
        <f>'Account Mastery_Reference'!C9</f>
        <v/>
      </c>
      <c r="D15">
        <f>'Account Mastery_Reference'!D9</f>
        <v/>
      </c>
      <c r="E15">
        <f>'Account Mastery_Reference'!N9</f>
        <v/>
      </c>
      <c r="F15">
        <f>IF(OR(D15="FLAG",D15="SYSTEM ERROR"),E15,IF(D15="PARTIAL",E15*0.5,0))</f>
        <v/>
      </c>
    </row>
    <row r="16">
      <c r="A16">
        <f>'Account Mastery_Reference'!B10</f>
        <v/>
      </c>
      <c r="B16">
        <f>'Account Mastery_Reference'!A10</f>
        <v/>
      </c>
      <c r="C16">
        <f>'Account Mastery_Reference'!C10</f>
        <v/>
      </c>
      <c r="D16">
        <f>'Account Mastery_Reference'!D10</f>
        <v/>
      </c>
      <c r="E16">
        <f>'Account Mastery_Reference'!N10</f>
        <v/>
      </c>
      <c r="F16">
        <f>IF(OR(D16="FLAG",D16="SYSTEM ERROR"),E16,IF(D16="PARTIAL",E16*0.5,0))</f>
        <v/>
      </c>
    </row>
    <row r="17">
      <c r="A17">
        <f>'Account Mastery_Reference'!B11</f>
        <v/>
      </c>
      <c r="B17">
        <f>'Account Mastery_Reference'!A11</f>
        <v/>
      </c>
      <c r="C17">
        <f>'Account Mastery_Reference'!C11</f>
        <v/>
      </c>
      <c r="D17">
        <f>'Account Mastery_Reference'!D11</f>
        <v/>
      </c>
      <c r="E17">
        <f>'Account Mastery_Reference'!N11</f>
        <v/>
      </c>
      <c r="F17">
        <f>IF(OR(D17="FLAG",D17="SYSTEM ERROR"),E17,IF(D17="PARTIAL",E17*0.5,0))</f>
        <v/>
      </c>
    </row>
    <row r="18">
      <c r="A18">
        <f>'Account Mastery_Reference'!B12</f>
        <v/>
      </c>
      <c r="B18">
        <f>'Account Mastery_Reference'!A12</f>
        <v/>
      </c>
      <c r="C18">
        <f>'Account Mastery_Reference'!C12</f>
        <v/>
      </c>
      <c r="D18">
        <f>'Account Mastery_Reference'!D12</f>
        <v/>
      </c>
      <c r="E18">
        <f>'Account Mastery_Reference'!N12</f>
        <v/>
      </c>
      <c r="F18">
        <f>IF(OR(D18="FLAG",D18="SYSTEM ERROR"),E18,IF(D18="PARTIAL",E18*0.5,0))</f>
        <v/>
      </c>
    </row>
    <row r="19">
      <c r="A19">
        <f>'Account Mastery_Reference'!B13</f>
        <v/>
      </c>
      <c r="B19">
        <f>'Account Mastery_Reference'!A13</f>
        <v/>
      </c>
      <c r="C19">
        <f>'Account Mastery_Reference'!C13</f>
        <v/>
      </c>
      <c r="D19">
        <f>'Account Mastery_Reference'!D13</f>
        <v/>
      </c>
      <c r="E19">
        <f>'Account Mastery_Reference'!N13</f>
        <v/>
      </c>
      <c r="F19">
        <f>IF(OR(D19="FLAG",D19="SYSTEM ERROR"),E19,IF(D19="PARTIAL",E19*0.5,0))</f>
        <v/>
      </c>
    </row>
    <row r="20">
      <c r="A20">
        <f>'Account Mastery_Reference'!B14</f>
        <v/>
      </c>
      <c r="B20">
        <f>'Account Mastery_Reference'!A14</f>
        <v/>
      </c>
      <c r="C20">
        <f>'Account Mastery_Reference'!C14</f>
        <v/>
      </c>
      <c r="D20">
        <f>'Account Mastery_Reference'!D14</f>
        <v/>
      </c>
      <c r="E20">
        <f>'Account Mastery_Reference'!N14</f>
        <v/>
      </c>
      <c r="F20">
        <f>IF(OR(D20="FLAG",D20="SYSTEM ERROR"),E20,IF(D20="PARTIAL",E20*0.5,0))</f>
        <v/>
      </c>
    </row>
    <row r="21">
      <c r="A21">
        <f>'Account Mastery_Reference'!B15</f>
        <v/>
      </c>
      <c r="B21">
        <f>'Account Mastery_Reference'!A15</f>
        <v/>
      </c>
      <c r="C21">
        <f>'Account Mastery_Reference'!C15</f>
        <v/>
      </c>
      <c r="D21">
        <f>'Account Mastery_Reference'!D15</f>
        <v/>
      </c>
      <c r="E21">
        <f>'Account Mastery_Reference'!N15</f>
        <v/>
      </c>
      <c r="F21">
        <f>IF(OR(D21="FLAG",D21="SYSTEM ERROR"),E21,IF(D21="PARTIAL",E21*0.5,0))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2026-02-04T19:33:36Z</dcterms:created>
  <dcterms:modified xmlns:dcterms="http://purl.org/dc/terms/" xmlns:xsi="http://www.w3.org/2001/XMLSchema-instance" xsi:type="dcterms:W3CDTF">2026-07-22T12:29:05Z</dcterms:modified>
  <cp:lastModifiedBy>Guilherme | Quartile</cp:lastModifiedBy>
</cp:coreProperties>
</file>