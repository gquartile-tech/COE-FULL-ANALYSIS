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main/templates/"/>
    </mc:Choice>
  </mc:AlternateContent>
  <xr:revisionPtr revIDLastSave="246" documentId="8_{070950E3-E89F-4947-8F13-1A3D60E112EC}" xr6:coauthVersionLast="47" xr6:coauthVersionMax="47" xr10:uidLastSave="{6738AA4A-EE74-4141-831C-734A6B1F22E9}"/>
  <bookViews>
    <workbookView xWindow="-57720" yWindow="0"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<sst xmlns="http://schemas.openxmlformats.org/spreadsheetml/2006/main" count="246" uniqueCount="201">
  <si>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</si>
  <si>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</si>
  <si>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</si>
  <si>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</si>
  <si>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</si>
  <si>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</si>
  <si>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</si>
  <si>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</si>
  <si>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</si>
  <si>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</si>
  <si>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</si>
  <si>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</si>
  <si>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</si>
  <si>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</si>
  <si>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</si>
  <si>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</si>
  <si>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</si>
  <si>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</si>
  <si>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</si>
  <si>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</si>
  <si>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</si>
  <si>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</si>
  <si>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</si>
  <si>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</si>
  <si>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</si>
  <si>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</si>
  <si>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</si>
  <si>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</si>
  <si>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</si>
  <si>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</si>
  <si>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</si>
  <si>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</si>
  <si>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</si>
  <si>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</si>
  <si>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</si>
  <si>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</si>
  <si>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</si>
  <si>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</si>
  <si>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</si>
  <si>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</si>
  <si>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</si>
  <si>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</si>
  <si>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</si>
  <si>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</si>
  <si>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</si>
  <si>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</si>
  <si>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</si>
  <si>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</si>
  <si>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</si>
  <si>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</si>
  <si>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</si>
  <si>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</si>
  <si>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</si>
  <si>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</si>
  <si>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</si>
  <si>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</si>
  <si>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</si>
  <si>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</si>
  <si>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</si>
  <si>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</si>
  <si>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</si>
  <si>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</si>
  <si>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</si>
  <si>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</si>
  <si>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</si>
  <si>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</si>
  <si>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</si>
  <si>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</si>
  <si>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</si>
  <si>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</si>
  <si>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</si>
  <si>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</si>
  <si>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</si>
  <si>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</si>
  <si>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</si>
  <si>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</si>
  <si>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</si>
  <si>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</si>
  <si>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Mastery starts with knowing what success looks like for the client and how it should be measured.</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</si>
  <si>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</si>
  <si>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</si>
  <si>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Short-term actions should reinforce, not contradict, the primary account objective.</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</si>
  <si>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</si>
  <si>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</si>
  <si>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A CSM cannot demonstrate mastery without understanding what is limiting account performance or stability.</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</si>
  <si>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</si>
  <si>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</si>
  <si>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Verify whether seasonal patterns affecting demand, pacing, or performance are recognized and documented.</t>
  </si>
  <si>
    <t>Seasonality changes demand patterns, budget pacing, and the expected balance between scale and efficiency.</t>
  </si>
  <si>
    <t>Seasonality references identified include {seasonality_notes}. Recent trend pattern observed: {seasonality_pattern}.</t>
  </si>
  <si>
    <t>If seasonality is not understood, the account may be evaluated or managed against the wrong expectations, timing, and spend profile.</t>
  </si>
  <si>
    <t>Verify whether operational constraints affecting performance are documented and acknowledged.</t>
  </si>
  <si>
    <t>Inventory, pricing, buy box, and similar operational issues materially affect advertising outcomes and strategic choices.</t>
  </si>
  <si>
    <t>Operational constraints identified in the account narrative include: {operational_constraints}. Supporting performance context: {constraint_performance_context}.</t>
  </si>
  <si>
    <t>A strong CSM should know not only the current state, but also what should happen next and why.</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</si>
  <si>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</si>
  <si>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</si>
  <si>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A strong CSM should maintain one coherent account story across targets, risks, and observed performance.</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</si>
  <si>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</si>
  <si>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</si>
  <si>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Sales Concentration Matches Account Story</t>
  </si>
  <si>
    <t>Highly concentrated accounts require different prioritization and risk management than broad catalogs.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</si>
  <si>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</si>
  <si>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</si>
  <si>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Client Contact Cadence (last 6 months)</t>
  </si>
  <si>
    <t>Regular contact helps maintain alignment, surface changes early, and reduce narrative gaps before the CoE review.</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</si>
  <si>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</si>
  <si>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</si>
  <si>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Customizations Documented &amp; Justified</t>
  </si>
  <si>
    <t>Customizations outside the standard framework should be understood, intentional, and explainable.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</si>
  <si>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</si>
  <si>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</si>
  <si>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Target Spend / KPI Targets Documented</t>
  </si>
  <si>
    <t>Mastery requires knowing the target boundaries and KPI guardrails that define success on the account.</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</si>
  <si>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</si>
  <si>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</si>
  <si>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Tagging / Segmentation Logic Clear</t>
  </si>
  <si>
    <t>Tagging and segmentation reveal whether the account structure supports the intended strategy and product focus.</t>
  </si>
  <si>
    <t>Observed tagging / segmentation patterns include {tagging_summary}. Potential structure or tagging issues identified: {tagging_issues}.</t>
  </si>
  <si>
    <t>If tagging and segmentation do not reflect the stated strategy, execution quality and strategic clarity are both reduced.</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</si>
  <si>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</si>
  <si>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</si>
  <si>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</si>
  <si>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</si>
  <si>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</si>
  <si>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</si>
  <si>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</si>
  <si>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</si>
  <si>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</si>
  <si>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</si>
  <si>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</si>
  <si>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</si>
  <si>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</si>
  <si>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</si>
  <si>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</si>
  <si>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</si>
  <si>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</si>
  <si>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</si>
  <si>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</si>
  <si>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</si>
  <si>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</si>
  <si>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</si>
  <si>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</si>
  <si>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</si>
  <si>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</si>
  <si>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</si>
  <si>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</si>
  <si>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</si>
  <si>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</si>
  <si>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</si>
  <si>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</si>
  <si>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</si>
  <si>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</si>
  <si>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</si>
  <si>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</si>
  <si>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</si>
  <si>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</si>
  <si>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</si>
  <si>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</si>
  <si>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</si>
  <si>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</si>
  <si>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</si>
  <si>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</si>
  <si>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</si>
  <si>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</si>
  <si>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</si>
  <si>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</si>
  <si>
    <t>Read AY7 in 38_Client_Success_Insights_Repo for the objective narrative. Cross-check Primary_Objective__c in 55_Salesforce_Consolidated. Check that the text references a business outcome (sales, revenue, ROAS, TACoS, market share) and a measurable anchor (a number or KPI). Flag if purely tactical actions are described instead of a business goal.</t>
  </si>
  <si>
    <t>Read AM7 in 38_Client_Success_Insights_Repo. If empty, fall back to Near_Term_3_Month_Considerations__c in 55_Salesforce_Consolidated. Check 5 dimensions: objective language, KPI reference (or Primary_Spend_KPI__c in tab 55), constraint language, timeframe reference, and narrative depth (15+ words). Sixth check: Near_Term_and_Primary_Objective_Conflict__c in tab 55 (Yes/No). Timeframe is a hard gate for OK.</t>
  </si>
  <si>
    <t>Read BN7 in 38_Client_Success_Insights_Repo for the challenges narrative. Cross-check Current_Challenges__c in 55_Salesforce_Consolidated. Check that content describes real blockers using barrier language (risk, inventory, pressure, competition, etc.) with 12+ words. Flag if the field contains metric targets instead of challenges.</t>
  </si>
  <si>
    <t>Parse month and quarter references from AM7 (38_Client_Success_Insights_Repo) as the primary seasonality source. Cross-check AY7 and BN7 for supporting seasonal mentions. Consistent references across sources = OK. Source has seasonal signal but narrative does not = FLAG. Narrative mentions seasonality but source does not = PARTIAL. No signal anywhere = OK (non-seasonal account).</t>
  </si>
  <si>
    <t>Check H7 in 39_Client_Journey_Insights_Data for CJM presence. If tab 55 has stage data, evaluate: (1) minimum 3 stages, (2) exactly 1 In Progress, 1 Next, at least 1 Planned, (3) Strategy field populated for every active stage, (4) Introduction date before Completion date; no Next/Planned stages with past Completion dates. 0 issues = OK. 1-2 issues = PARTIAL. 3+ issues = FLAG.</t>
  </si>
  <si>
    <t>Read ACoS constraint from O7 and TACoS constraint from AX7 in 38_Client_Success_Insights_Repo. Read ACoS target from proj_j and TACoS target from proj_k in 54_Project_Dataset_on_SF. Use Primary_Spend_KPI__c from 55_Salesforce_Consolidated to gate which pair is required: ACOS/ROAS accounts need ACoS constraint only; TACOS accounts need TACoS constraint only. Check: target must not exceed constraint; TACoS must be below ACoS. Cross-check tab 55 constraint values against tab 38 — mismatch over 2pp is flagged.</t>
  </si>
  <si>
    <t>Calculate concentration from 07_KPIs_by_Parent_ASIN_by_Month: top-1, top-3, top-5 share. Classify as high (top-1 &gt; 50%, top-3 &gt; 75%, or top-5 &gt; 80%), medium, or low. Read concentration label from AU7 in 38_Client_Success_Insights_Repo. If AU7 is empty, read Sales_Concentration__c from 55_Salesforce_Consolidated. Compare documented class to actual class. Flag if they disagree or if neither is populated.</t>
  </si>
  <si>
    <t>Detect active customizations from framework tabs: unmanaged ASINs (tab 26), timeframe boosts (tab 27), unmanaged budgets (tab 28), global negatives (tab 29), unmanaged campaigns (tabs 31-32), RBO rules (tab 33), product-level ACoS (tab 34), campaign-level ACoS (tab 35). Compare count to mentions in CS_Notes__c (tab 54, col T). All documented = OK. Half or more = PARTIAL. Most undocumented = FLAG.</t>
  </si>
  <si>
    <t>Sub-check 1 (spend pacing): read daily target from proj_h in 54_Project_Dataset_on_SF. If blank, fall back to daily_target_spend__c in 55_Salesforce_Consolidated. Compare to actual daily spend (AdSpend / window days from tab 02). Deviation &lt;= 20% = OK; &lt;= 40% = PARTIAL; else FLAG. Sub-check 2 (ROAS target): read Target_ROAS__c from 55_Salesforce_Consolidated, compare to actual ROAS from tab 02. Same tiers apply. Overall status = worst of both sub-checks.</t>
  </si>
  <si>
    <t>Read Tag1-Tag5 from 14_Campaign_Performance_by_Adve. Check two dimensions: (1) bestseller label — tag matches: bestseller, hero, top perf, winner, core, priority; (2) category/tier label — tag matches a product type (supplement, skincare, pet, etc.), performance tier (tier 1, tier1, etc.), or segmentation pattern (mid seller, slow mover, high conversion, etc.). Both present = OK. One missing = PARTIAL. Neither = FLAG with tag count note.</t>
  </si>
  <si>
    <t>Verify whether the primary account objective is clearly documented with a measurable business outcome.</t>
  </si>
  <si>
    <t>Verify whether the near-term context supports the primary objective and covers the required dimensions.</t>
  </si>
  <si>
    <t>Verify whether the current account blockers and risks are clearly documented.</t>
  </si>
  <si>
    <t>Verify whether a Client Journey Map exists and is properly structured with active stages.</t>
  </si>
  <si>
    <t>Verify whether ACoS and TACoS constraint and target fields are consistent and internally logical.</t>
  </si>
  <si>
    <t>Verify whether sales concentration across parent ASINs is understood and reflected in the documented account story.</t>
  </si>
  <si>
    <t>Verify whether regular client contact is evidenced through Gong call records.</t>
  </si>
  <si>
    <t>Verify whether active framework customizations are documented and justified in CS Notes.</t>
  </si>
  <si>
    <t>Verify whether spend and ROAS targets are documented and actual performance is within acceptable deviation.</t>
  </si>
  <si>
    <t>Verify whether campaign tags show intentional product segmentation with both a bestseller label and a category or tier label.</t>
  </si>
  <si>
    <t>38_Client_Success_Insights_Repo!AY7 + 55_Salesforce_Consolidated!Primary_Objective__c</t>
  </si>
  <si>
    <t>38_Client_Success_Insights_Repo!AM7 + 55_Salesforce_Consolidated!Near_Term_3_Month_Considerations__c; Near_Term_and_Primary_Objective_Conflict__c; Primary_Spend_KPI__c</t>
  </si>
  <si>
    <t>38_Client_Success_Insights_Repo!BN7 + 55_Salesforce_Consolidated!Current_Challenges__c</t>
  </si>
  <si>
    <t>38_Client_Success_Insights_Repo!AM7 + AY7 + BN7</t>
  </si>
  <si>
    <t>38_Client_Success_Insights_Repo!AL7 (Yes/No) + narrative cross-check in AY7; AM7; BN7</t>
  </si>
  <si>
    <t>39_Client_Journey_Insights_Data!H7 + 55_Salesforce_Consolidated!StatusS1-4__c; StrategyS1-4__c; IntroductionDateS1-4__c; ExecutionDateS1-4__c</t>
  </si>
  <si>
    <t>38_Client_Success_Insights_Repo!O7; AX7 + 54_Project_Dataset_on_SF!J7; K7 + 55_Salesforce_Consolidated!ACOS_Constraint__c; TACOS_Constraint__c; Primary_Spend_KPI__c</t>
  </si>
  <si>
    <t>07_KPIs_by_Parent_ASIN_by_Month + 38_Client_Success_Insights_Repo!AU7 + 55_Salesforce_Consolidated!Sales_Concentration__c</t>
  </si>
  <si>
    <t>37_Gong_Call_Insights_for_Sales!Gong__Call_End__c</t>
  </si>
  <si>
    <t>Tabs 26-35 (personalization detection) + 54_Project_Dataset_on_SF!CS_Notes__c (col T)</t>
  </si>
  <si>
    <t>54_Project_Dataset_on_SF!H (daily target) + 55_Salesforce_Consolidated!daily_target_spend__c; Target_ROAS__c + 02_Date_Range_KPIs__Date_Range_!AdSpend; ACoS</t>
  </si>
  <si>
    <t>14_Campaign_Performance_by_Adve!Tag1; Tag2; Tag3; Tag4; Tag5</t>
  </si>
  <si>
    <t>Read Operational_Constraints__c from 37_Gong_Call_Insights_for_Sales. Check whether the field is populated with a meaningful description. Field empty or containing only 'none', 'n/a', or similar filler → OK (no constraint assumed). Field populated but fewer than 6 words → PARTIAL (add more detail so any reviewer understands the limit). Field populated with a clear description → OK. No keyword scanning is applied — only the formal field is checked.</t>
  </si>
  <si>
    <t>Read Gong call dates from 37_Gong_Call_Insights_for_Sales (Gong__Call_End__c). Calculate gap in days between the two most recent calls. Gap ≤ 20 days = OK. Gap 21–45 days = PARTIAL. Gap &gt; 45 days = FLAG. Only one call found = PARTIAL. No calls =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</si>
</sst>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1">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3">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4" fillId="0" borderId="13" xfId="0" applyFont="1" applyBorder="1" applyAlignment="1">
      <alignment horizontal="center" vertical="center" wrapText="1"/>
    </xf>
    <xf numFmtId="0" fontId="0" fillId="5" borderId="0" xfId="0" applyFill="1" applyAlignment="1">
      <alignment horizontal="center"/>
    </xf>
    <xf numFmtId="0" fontId="2" fillId="5" borderId="0" xfId="0" applyFont="1" applyFill="1" applyAlignment="1">
      <alignment horizontal="center" vertical="center"/>
    </xf>
    <xf numFmtId="22" fontId="0" fillId="5" borderId="0" xfId="0" applyNumberFormat="1" applyFill="1" applyAlignment="1">
      <alignment horizontal="left"/>
    </xf>
    <xf numFmtId="0" fontId="0" fillId="0" borderId="2" xfId="0" applyBorder="1" applyAlignment="1">
      <alignment vertical="top" wrapText="1"/>
    </xf>
    <xf numFmtId="0" fontId="13" fillId="0" borderId="2" xfId="0" applyFont="1" applyBorder="1" applyAlignment="1">
      <alignment vertical="top" wrapText="1"/>
    </xf>
    <xf numFmtId="0" fontId="14" fillId="0" borderId="2" xfId="0" applyFont="1" applyBorder="1" applyAlignment="1">
      <alignment vertical="top" wrapText="1"/>
    </xf>
    <xf numFmtId="0" fontId="1" fillId="7" borderId="5" xfId="0" applyFont="1" applyFill="1" applyBorder="1" applyAlignment="1">
      <alignment horizontal="center" vertical="center"/>
    </xf>
    <xf numFmtId="0" fontId="0" fillId="7" borderId="6" xfId="0" applyFill="1" applyBorder="1"/>
    <xf numFmtId="0" fontId="0" fillId="7" borderId="20"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9" fillId="5" borderId="6" xfId="0" applyFont="1" applyFill="1" applyBorder="1" applyAlignment="1">
      <alignment horizontal="center" vertical="top" wrapText="1"/>
    </xf>
    <xf numFmtId="0" fontId="0" fillId="0" borderId="6" xfId="0" applyBorder="1"/>
    <xf numFmtId="0" fontId="0" fillId="0" borderId="20"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0" xfId="0" applyAlignment="1">
      <alignment horizontal="center"/>
    </xf>
    <xf numFmtId="0" fontId="0" fillId="5" borderId="9" xfId="0" applyFill="1" applyBorder="1" applyAlignment="1">
      <alignment horizontal="center"/>
    </xf>
    <xf numFmtId="0" fontId="0" fillId="5" borderId="8" xfId="0" applyFill="1" applyBorder="1" applyAlignment="1">
      <alignment horizontal="center"/>
    </xf>
    <xf numFmtId="0" fontId="0" fillId="5" borderId="15" xfId="0" applyFill="1" applyBorder="1" applyAlignment="1">
      <alignment horizontal="center"/>
    </xf>
    <xf numFmtId="0" fontId="0" fillId="5" borderId="19"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2" fillId="5" borderId="9"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7"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0" xfId="0" applyFont="1" applyFill="1" applyBorder="1" applyAlignment="1">
      <alignment horizontal="center" vertical="center"/>
    </xf>
    <xf numFmtId="0" fontId="0" fillId="5" borderId="18" xfId="0" applyFill="1" applyBorder="1" applyAlignment="1">
      <alignment horizontal="center"/>
    </xf>
    <xf numFmtId="0" fontId="0" fillId="5" borderId="0" xfId="0" applyFill="1" applyAlignment="1">
      <alignment horizontal="center"/>
    </xf>
    <xf numFmtId="0" fontId="0" fillId="5" borderId="10" xfId="0" applyFill="1" applyBorder="1" applyAlignment="1">
      <alignment horizontal="center"/>
    </xf>
    <xf numFmtId="0" fontId="0" fillId="5" borderId="5" xfId="0" applyFill="1" applyBorder="1" applyAlignment="1">
      <alignment horizontal="center" wrapText="1"/>
    </xf>
    <xf numFmtId="0" fontId="0" fillId="5" borderId="20" xfId="0" applyFill="1" applyBorder="1" applyAlignment="1">
      <alignment horizontal="center"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zoomScale="70" zoomScaleNormal="70" workbookViewId="0">
      <pane ySplit="8" topLeftCell="A9" activePane="bottomLeft" state="frozen"/>
      <selection pane="bottomLeft" activeCell="D21" sqref="D21"/>
    </sheetView>
  </sheetViews>
  <sheetFormatPr defaultRowHeight="14.4" x14ac:dyDescent="0.3"/>
  <cols>
    <col min="1" max="1" width="21.44140625" customWidth="1"/>
    <col min="2" max="2" width="27.5546875" customWidth="1"/>
    <col min="3" max="3" width="38.21875" customWidth="1"/>
    <col min="4" max="4" width="76.44140625"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42" t="s">
        <v>57</v>
      </c>
      <c r="B1" s="43"/>
      <c r="C1" s="43"/>
      <c r="D1" s="43"/>
      <c r="E1" s="43"/>
      <c r="F1" s="43"/>
      <c r="G1" s="44"/>
    </row>
    <row r="2" spans="1:7" x14ac:dyDescent="0.3">
      <c r="A2" s="16" t="s">
        <v>70</v>
      </c>
      <c r="B2" s="7" t="s">
        <v>71</v>
      </c>
      <c r="C2" s="7"/>
      <c r="D2" s="45"/>
      <c r="E2" s="45"/>
      <c r="F2" s="46"/>
      <c r="G2" s="46"/>
    </row>
    <row r="3" spans="1:7" x14ac:dyDescent="0.3">
      <c r="A3" s="15" t="s">
        <v>47</v>
      </c>
      <c r="B3" t="s">
        <v>48</v>
      </c>
      <c r="D3" s="14"/>
      <c r="E3"/>
      <c r="F3"/>
    </row>
    <row r="4" spans="1:7" ht="14.4" customHeight="1" x14ac:dyDescent="0.3">
      <c r="A4" s="16" t="s">
        <v>46</v>
      </c>
      <c r="B4" s="7" t="s">
        <v>49</v>
      </c>
      <c r="C4" s="7"/>
      <c r="D4" s="45"/>
      <c r="E4" s="45"/>
      <c r="F4" s="46"/>
      <c r="G4" s="46"/>
    </row>
    <row r="5" spans="1:7" ht="14.4" customHeight="1" x14ac:dyDescent="0.3">
      <c r="A5" s="16" t="s">
        <v>50</v>
      </c>
      <c r="B5" s="38">
        <v>46083.684884259259</v>
      </c>
      <c r="C5" s="7"/>
      <c r="D5" s="14"/>
      <c r="E5"/>
      <c r="F5"/>
    </row>
    <row r="6" spans="1:7" ht="15" thickBot="1" x14ac:dyDescent="0.35">
      <c r="A6" s="7"/>
      <c r="B6" s="7"/>
      <c r="C6" s="7"/>
      <c r="D6" s="12"/>
      <c r="E6" s="12"/>
      <c r="F6" s="12"/>
      <c r="G6" s="7"/>
    </row>
    <row r="7" spans="1:7" ht="21" customHeight="1" thickBot="1" x14ac:dyDescent="0.35">
      <c r="A7" s="47" t="s">
        <v>69</v>
      </c>
      <c r="B7" s="46"/>
      <c r="C7" s="46"/>
      <c r="D7" s="53" t="str">
        <f>'Logic and Calculation'!B5</f>
        <v xml:space="preserve">Compliant </v>
      </c>
      <c r="E7" s="54"/>
      <c r="F7" s="51"/>
      <c r="G7" s="52"/>
    </row>
    <row r="8" spans="1:7" ht="18" customHeight="1" thickBot="1" x14ac:dyDescent="0.35">
      <c r="A8" s="47" t="s">
        <v>0</v>
      </c>
      <c r="B8" s="46"/>
      <c r="C8" s="46"/>
      <c r="D8" s="49"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50"/>
      <c r="F8" s="51"/>
      <c r="G8" s="52"/>
    </row>
    <row r="9" spans="1:7" s="7" customFormat="1" ht="18" customHeight="1" x14ac:dyDescent="0.3">
      <c r="A9" s="21"/>
      <c r="D9" s="22"/>
    </row>
    <row r="10" spans="1:7" s="7" customFormat="1" ht="18" customHeight="1" thickBot="1" x14ac:dyDescent="0.35">
      <c r="A10" s="21"/>
      <c r="D10" s="22"/>
    </row>
    <row r="11" spans="1:7" s="7" customFormat="1" ht="18" customHeight="1" x14ac:dyDescent="0.3">
      <c r="A11" s="62" t="s">
        <v>148</v>
      </c>
      <c r="B11" s="63"/>
      <c r="C11" s="56"/>
      <c r="D11" s="57"/>
      <c r="E11" s="57"/>
      <c r="F11" s="57"/>
      <c r="G11" s="58"/>
    </row>
    <row r="12" spans="1:7" s="7" customFormat="1" ht="18" customHeight="1" thickBot="1" x14ac:dyDescent="0.35">
      <c r="A12" s="64"/>
      <c r="B12" s="65"/>
      <c r="C12" s="59"/>
      <c r="D12" s="60"/>
      <c r="E12" s="60"/>
      <c r="F12" s="60"/>
      <c r="G12" s="61"/>
    </row>
    <row r="13" spans="1:7" s="7" customFormat="1" ht="18" customHeight="1" x14ac:dyDescent="0.3">
      <c r="A13" s="62" t="s">
        <v>149</v>
      </c>
      <c r="B13" s="63"/>
      <c r="C13" s="56"/>
      <c r="D13" s="57"/>
      <c r="E13" s="57"/>
      <c r="F13" s="57"/>
      <c r="G13" s="58"/>
    </row>
    <row r="14" spans="1:7" s="7" customFormat="1" ht="18" customHeight="1" x14ac:dyDescent="0.3">
      <c r="A14" s="66"/>
      <c r="B14" s="67"/>
      <c r="C14" s="68"/>
      <c r="D14" s="69"/>
      <c r="E14" s="69"/>
      <c r="F14" s="69"/>
      <c r="G14" s="70"/>
    </row>
    <row r="15" spans="1:7" s="7" customFormat="1" ht="18" customHeight="1" thickBot="1" x14ac:dyDescent="0.35">
      <c r="A15" s="64"/>
      <c r="B15" s="65"/>
      <c r="C15" s="59"/>
      <c r="D15" s="60"/>
      <c r="E15" s="60"/>
      <c r="F15" s="60"/>
      <c r="G15" s="61"/>
    </row>
    <row r="16" spans="1:7" s="7" customFormat="1" ht="18" customHeight="1" x14ac:dyDescent="0.3">
      <c r="A16" s="37"/>
      <c r="B16" s="37"/>
      <c r="C16" s="36"/>
      <c r="D16" s="36"/>
      <c r="E16" s="36"/>
      <c r="F16" s="36"/>
      <c r="G16" s="36"/>
    </row>
    <row r="17" spans="1:7" s="7" customFormat="1" ht="18" customHeight="1" thickBot="1" x14ac:dyDescent="0.35">
      <c r="A17" s="21"/>
      <c r="D17" s="22"/>
    </row>
    <row r="18" spans="1:7" s="7" customFormat="1" ht="18" customHeight="1" thickBot="1" x14ac:dyDescent="0.35">
      <c r="A18" s="15" t="s">
        <v>150</v>
      </c>
      <c r="B18" s="17"/>
      <c r="D18" s="22"/>
    </row>
    <row r="19" spans="1:7" s="7" customFormat="1" ht="18" customHeight="1" thickBot="1" x14ac:dyDescent="0.35">
      <c r="A19" s="15" t="s">
        <v>151</v>
      </c>
      <c r="B19" s="18"/>
      <c r="D19" s="22"/>
    </row>
    <row r="20" spans="1:7" s="7" customFormat="1" ht="18" customHeight="1" x14ac:dyDescent="0.3">
      <c r="A20" s="21"/>
      <c r="D20" s="22"/>
    </row>
    <row r="21" spans="1:7" s="7" customFormat="1" ht="18" customHeight="1" thickBot="1" x14ac:dyDescent="0.35">
      <c r="A21" s="21"/>
      <c r="D21" s="22"/>
    </row>
    <row r="22" spans="1:7" ht="18" customHeight="1" thickBot="1" x14ac:dyDescent="0.35">
      <c r="A22" s="15" t="s">
        <v>53</v>
      </c>
      <c r="B22" s="17"/>
      <c r="C22" s="7"/>
      <c r="D22" s="55"/>
      <c r="E22" s="55"/>
      <c r="F22" s="55"/>
      <c r="G22" s="55"/>
    </row>
    <row r="23" spans="1:7" ht="18" customHeight="1" thickBot="1" x14ac:dyDescent="0.35">
      <c r="A23" s="15" t="s">
        <v>54</v>
      </c>
      <c r="B23" s="18"/>
      <c r="C23" s="7"/>
      <c r="D23" s="20" t="s">
        <v>56</v>
      </c>
      <c r="E23" s="71"/>
      <c r="F23" s="72"/>
      <c r="G23" s="7"/>
    </row>
    <row r="24" spans="1:7" ht="18" customHeight="1" thickBot="1" x14ac:dyDescent="0.35">
      <c r="A24" s="15" t="s">
        <v>55</v>
      </c>
      <c r="B24" s="19"/>
      <c r="C24" s="7"/>
      <c r="D24" s="12"/>
      <c r="E24" s="12"/>
      <c r="F24" s="12"/>
      <c r="G24" s="7"/>
    </row>
    <row r="25" spans="1:7" ht="18" customHeight="1" x14ac:dyDescent="0.3">
      <c r="A25" s="7"/>
      <c r="B25" s="7"/>
      <c r="C25" s="7"/>
      <c r="D25" s="12"/>
      <c r="E25" s="12"/>
      <c r="F25" s="12"/>
      <c r="G25" s="7"/>
    </row>
    <row r="26" spans="1:7" x14ac:dyDescent="0.3">
      <c r="A26" s="48" t="s">
        <v>1</v>
      </c>
      <c r="B26" s="46"/>
      <c r="C26" s="46"/>
      <c r="D26" s="46"/>
      <c r="E26" s="46"/>
      <c r="F26" s="46"/>
      <c r="G26" s="46"/>
    </row>
    <row r="27" spans="1:7" ht="19.95" customHeight="1" x14ac:dyDescent="0.3">
      <c r="A27" s="1" t="s">
        <v>2</v>
      </c>
      <c r="B27" s="1" t="s">
        <v>3</v>
      </c>
      <c r="C27" s="1" t="s">
        <v>4</v>
      </c>
      <c r="D27" s="1" t="s">
        <v>5</v>
      </c>
      <c r="E27" s="1" t="s">
        <v>6</v>
      </c>
      <c r="F27" s="1" t="s">
        <v>155</v>
      </c>
      <c r="G27" s="1" t="s">
        <v>7</v>
      </c>
    </row>
    <row r="28" spans="1:7" ht="44.4" customHeight="1" x14ac:dyDescent="0.3">
      <c r="A28" s="8"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8"/>
      <c r="C28" s="9"/>
      <c r="D28" s="10"/>
      <c r="E28" s="10"/>
      <c r="F28" s="10"/>
      <c r="G28" s="8"/>
    </row>
    <row r="29" spans="1:7" ht="44.4" customHeight="1" x14ac:dyDescent="0.3">
      <c r="A29" s="8"/>
      <c r="B29" s="8"/>
      <c r="C29" s="6"/>
      <c r="D29" s="10"/>
      <c r="E29" s="10"/>
      <c r="F29" s="10"/>
      <c r="G29" s="8"/>
    </row>
    <row r="30" spans="1:7" ht="44.4" customHeight="1" x14ac:dyDescent="0.3">
      <c r="A30" s="8"/>
      <c r="B30" s="8"/>
      <c r="C30" s="6"/>
      <c r="D30" s="10"/>
      <c r="E30" s="10"/>
      <c r="F30" s="10"/>
      <c r="G30" s="8"/>
    </row>
    <row r="31" spans="1:7" ht="44.4" customHeight="1" x14ac:dyDescent="0.3">
      <c r="A31" s="8"/>
      <c r="B31" s="8"/>
      <c r="C31" s="6"/>
      <c r="D31" s="10"/>
      <c r="E31" s="10"/>
      <c r="F31" s="10"/>
      <c r="G31" s="8"/>
    </row>
    <row r="32" spans="1:7" ht="44.4" customHeight="1" x14ac:dyDescent="0.3">
      <c r="A32" s="8"/>
      <c r="B32" s="8"/>
      <c r="C32" s="6"/>
      <c r="D32" s="10"/>
      <c r="E32" s="10"/>
      <c r="F32" s="10"/>
      <c r="G32" s="8"/>
    </row>
    <row r="33" spans="1:7" ht="44.4" customHeight="1" x14ac:dyDescent="0.3">
      <c r="A33" s="8"/>
      <c r="B33" s="8"/>
      <c r="C33" s="6"/>
      <c r="D33" s="10"/>
      <c r="E33" s="10"/>
      <c r="F33" s="10"/>
      <c r="G33" s="8"/>
    </row>
    <row r="34" spans="1:7" ht="44.4" customHeight="1" x14ac:dyDescent="0.3">
      <c r="A34" s="8"/>
      <c r="B34" s="8"/>
      <c r="C34" s="6"/>
      <c r="D34" s="10"/>
      <c r="E34" s="10"/>
      <c r="F34" s="10"/>
      <c r="G34" s="8"/>
    </row>
    <row r="35" spans="1:7" ht="44.4" customHeight="1" x14ac:dyDescent="0.3">
      <c r="A35" s="8"/>
      <c r="B35" s="8"/>
      <c r="C35" s="6"/>
      <c r="D35" s="10"/>
      <c r="E35" s="10"/>
      <c r="F35" s="10"/>
      <c r="G35" s="8"/>
    </row>
    <row r="36" spans="1:7" ht="44.4" customHeight="1" x14ac:dyDescent="0.3">
      <c r="A36" s="8"/>
      <c r="B36" s="8"/>
      <c r="C36" s="6"/>
      <c r="D36" s="10"/>
      <c r="E36" s="10"/>
      <c r="F36" s="10"/>
      <c r="G36" s="8"/>
    </row>
    <row r="37" spans="1:7" ht="44.4" customHeight="1" x14ac:dyDescent="0.3">
      <c r="A37" s="8"/>
      <c r="B37" s="8"/>
      <c r="C37" s="6"/>
      <c r="D37" s="10"/>
      <c r="E37" s="10"/>
      <c r="F37" s="10"/>
      <c r="G37" s="8"/>
    </row>
    <row r="38" spans="1:7" ht="44.4" customHeight="1" x14ac:dyDescent="0.3">
      <c r="A38" s="8"/>
      <c r="B38" s="8"/>
      <c r="C38" s="6"/>
      <c r="D38" s="10"/>
      <c r="E38" s="10"/>
      <c r="F38" s="10"/>
      <c r="G38" s="8"/>
    </row>
    <row r="39" spans="1:7" ht="44.4" customHeight="1" x14ac:dyDescent="0.3">
      <c r="A39" s="8"/>
      <c r="B39" s="8"/>
      <c r="C39" s="6"/>
      <c r="D39" s="10"/>
      <c r="E39" s="10"/>
      <c r="F39" s="10"/>
      <c r="G39" s="8"/>
    </row>
    <row r="40" spans="1:7" ht="44.4" customHeight="1" x14ac:dyDescent="0.3">
      <c r="A40" s="8"/>
      <c r="B40" s="8"/>
      <c r="C40" s="6"/>
      <c r="D40" s="10"/>
      <c r="E40" s="10"/>
      <c r="F40" s="10"/>
      <c r="G40" s="8"/>
    </row>
    <row r="41" spans="1:7" ht="44.4" customHeight="1" x14ac:dyDescent="0.3">
      <c r="A41" s="8"/>
      <c r="B41" s="8"/>
      <c r="C41" s="6"/>
      <c r="D41" s="10"/>
      <c r="E41" s="10"/>
      <c r="F41" s="10"/>
      <c r="G41" s="8"/>
    </row>
    <row r="42" spans="1:7" ht="44.4" customHeight="1" x14ac:dyDescent="0.3">
      <c r="A42" s="7"/>
      <c r="B42" s="7"/>
      <c r="C42" s="6"/>
      <c r="D42" s="12"/>
      <c r="E42" s="12"/>
      <c r="F42" s="12"/>
      <c r="G42" s="7"/>
    </row>
    <row r="43" spans="1:7" ht="44.4" customHeight="1" x14ac:dyDescent="0.3">
      <c r="A43" s="7"/>
      <c r="B43" s="7"/>
      <c r="C43" s="6"/>
      <c r="D43" s="12"/>
      <c r="E43" s="12"/>
      <c r="F43" s="12"/>
      <c r="G43" s="7"/>
    </row>
    <row r="44" spans="1:7" ht="44.4" customHeight="1" x14ac:dyDescent="0.3">
      <c r="A44" s="7"/>
      <c r="B44" s="7"/>
      <c r="C44" s="6"/>
      <c r="D44" s="12"/>
      <c r="E44" s="12"/>
      <c r="F44" s="12"/>
      <c r="G44" s="7"/>
    </row>
    <row r="45" spans="1:7" ht="44.4" customHeight="1" x14ac:dyDescent="0.3">
      <c r="A45" s="7"/>
      <c r="B45" s="7"/>
      <c r="C45" s="6"/>
      <c r="D45" s="12"/>
      <c r="E45" s="12"/>
      <c r="F45" s="12"/>
      <c r="G45" s="7"/>
    </row>
    <row r="46" spans="1:7" ht="44.4" customHeight="1" x14ac:dyDescent="0.3">
      <c r="A46" s="7"/>
      <c r="B46" s="7"/>
      <c r="C46" s="6"/>
      <c r="D46" s="12"/>
      <c r="E46" s="12"/>
      <c r="F46" s="12"/>
      <c r="G46" s="7"/>
    </row>
    <row r="47" spans="1:7" ht="44.4" customHeight="1" x14ac:dyDescent="0.3">
      <c r="C47" s="6"/>
    </row>
    <row r="48" spans="1:7" ht="44.4" customHeight="1" x14ac:dyDescent="0.3">
      <c r="C48" s="6"/>
    </row>
    <row r="49" spans="3:3" ht="44.4" customHeight="1" x14ac:dyDescent="0.3">
      <c r="C49" s="6"/>
    </row>
    <row r="50" spans="3:3" ht="44.4" customHeight="1" x14ac:dyDescent="0.3">
      <c r="C50" s="6"/>
    </row>
    <row r="51" spans="3:3" ht="44.4" customHeight="1" x14ac:dyDescent="0.3">
      <c r="C51" s="6"/>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E23:F23"/>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abSelected="1" zoomScale="85" zoomScaleNormal="85" workbookViewId="0">
      <pane ySplit="1" topLeftCell="A3" activePane="bottomLeft" state="frozen"/>
      <selection pane="bottomLeft" activeCell="G9" sqref="G9"/>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4" customWidth="1"/>
    <col min="6" max="6" width="48.5546875" style="23" customWidth="1"/>
    <col min="7" max="7" width="74.88671875" style="23" customWidth="1"/>
    <col min="8" max="8" width="76.44140625" style="23" customWidth="1"/>
    <col min="9" max="10" width="59.88671875" style="23"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7" t="s">
        <v>8</v>
      </c>
      <c r="B1" s="28" t="s">
        <v>2</v>
      </c>
      <c r="C1" s="28" t="s">
        <v>3</v>
      </c>
      <c r="D1" s="28" t="s">
        <v>9</v>
      </c>
      <c r="E1" s="29" t="s">
        <v>10</v>
      </c>
      <c r="F1" s="28" t="s">
        <v>11</v>
      </c>
      <c r="G1" s="28" t="s">
        <v>12</v>
      </c>
      <c r="H1" s="28" t="s">
        <v>5</v>
      </c>
      <c r="I1" s="28" t="s">
        <v>6</v>
      </c>
      <c r="J1" s="28" t="s">
        <v>155</v>
      </c>
      <c r="K1" s="28" t="s">
        <v>13</v>
      </c>
      <c r="L1" s="28" t="s">
        <v>7</v>
      </c>
      <c r="M1" s="28" t="s">
        <v>14</v>
      </c>
      <c r="N1" s="28" t="s">
        <v>15</v>
      </c>
      <c r="O1" s="30" t="s">
        <v>16</v>
      </c>
    </row>
    <row r="2" spans="1:15" ht="55.2" customHeight="1" x14ac:dyDescent="0.3">
      <c r="A2" s="31" t="s">
        <v>60</v>
      </c>
      <c r="B2" s="3" t="s">
        <v>17</v>
      </c>
      <c r="C2" s="32" t="s">
        <v>64</v>
      </c>
      <c r="D2" s="3" t="s">
        <v>18</v>
      </c>
      <c r="E2" s="39" t="s">
        <v>177</v>
      </c>
      <c r="F2" s="32" t="s">
        <v>78</v>
      </c>
      <c r="G2" s="39" t="s">
        <v>167</v>
      </c>
      <c r="H2" s="32" t="s">
        <v>79</v>
      </c>
      <c r="I2" s="32" t="s">
        <v>80</v>
      </c>
      <c r="J2" s="32" t="s">
        <v>164</v>
      </c>
      <c r="K2" s="39" t="s">
        <v>187</v>
      </c>
      <c r="L2" s="3" t="str">
        <f>VLOOKUP(Table1[[#This Row],[Importance]],'Logic and Calculation'!$H$3:$J$12,3,FALSE)</f>
        <v>Critical</v>
      </c>
      <c r="M2" s="33">
        <v>10</v>
      </c>
      <c r="N2" s="3">
        <f>VLOOKUP(Table1[[#This Row],[Importance]],'Logic and Calculation'!$H$3:$J$12,2,FALSE)</f>
        <v>-18</v>
      </c>
      <c r="O2" s="34" t="s">
        <v>134</v>
      </c>
    </row>
    <row r="3" spans="1:15" ht="55.2" customHeight="1" x14ac:dyDescent="0.3">
      <c r="A3" s="31" t="s">
        <v>60</v>
      </c>
      <c r="B3" s="3" t="s">
        <v>20</v>
      </c>
      <c r="C3" s="32" t="s">
        <v>59</v>
      </c>
      <c r="D3" s="3" t="s">
        <v>18</v>
      </c>
      <c r="E3" s="39" t="s">
        <v>178</v>
      </c>
      <c r="F3" s="32" t="s">
        <v>81</v>
      </c>
      <c r="G3" s="39" t="s">
        <v>168</v>
      </c>
      <c r="H3" s="32" t="s">
        <v>82</v>
      </c>
      <c r="I3" s="32" t="s">
        <v>83</v>
      </c>
      <c r="J3" s="32" t="s">
        <v>165</v>
      </c>
      <c r="K3" s="39" t="s">
        <v>188</v>
      </c>
      <c r="L3" s="3" t="str">
        <f>VLOOKUP(Table1[[#This Row],[Importance]],'Logic and Calculation'!$H$3:$J$12,3,FALSE)</f>
        <v>High</v>
      </c>
      <c r="M3" s="33">
        <v>8</v>
      </c>
      <c r="N3" s="3">
        <f>VLOOKUP(Table1[[#This Row],[Importance]],'Logic and Calculation'!$H$3:$J$12,2,FALSE)</f>
        <v>-13</v>
      </c>
      <c r="O3" s="34" t="s">
        <v>135</v>
      </c>
    </row>
    <row r="4" spans="1:15" ht="55.2" customHeight="1" x14ac:dyDescent="0.3">
      <c r="A4" s="31" t="s">
        <v>61</v>
      </c>
      <c r="B4" s="3" t="s">
        <v>21</v>
      </c>
      <c r="C4" s="32" t="s">
        <v>58</v>
      </c>
      <c r="D4" s="3" t="s">
        <v>18</v>
      </c>
      <c r="E4" s="39" t="s">
        <v>179</v>
      </c>
      <c r="F4" s="32" t="s">
        <v>84</v>
      </c>
      <c r="G4" s="39" t="s">
        <v>169</v>
      </c>
      <c r="H4" s="32" t="s">
        <v>85</v>
      </c>
      <c r="I4" s="32" t="s">
        <v>86</v>
      </c>
      <c r="J4" s="32" t="s">
        <v>156</v>
      </c>
      <c r="K4" s="39" t="s">
        <v>189</v>
      </c>
      <c r="L4" s="3" t="str">
        <f>VLOOKUP(Table1[[#This Row],[Importance]],'Logic and Calculation'!$H$3:$J$12,3,FALSE)</f>
        <v>High</v>
      </c>
      <c r="M4" s="33">
        <v>9</v>
      </c>
      <c r="N4" s="3">
        <f>VLOOKUP(Table1[[#This Row],[Importance]],'Logic and Calculation'!$H$3:$J$12,2,FALSE)</f>
        <v>-15</v>
      </c>
      <c r="O4" s="34" t="s">
        <v>136</v>
      </c>
    </row>
    <row r="5" spans="1:15" ht="55.2" customHeight="1" x14ac:dyDescent="0.3">
      <c r="A5" s="31" t="s">
        <v>61</v>
      </c>
      <c r="B5" s="3" t="s">
        <v>22</v>
      </c>
      <c r="C5" s="32" t="s">
        <v>65</v>
      </c>
      <c r="D5" s="3" t="s">
        <v>18</v>
      </c>
      <c r="E5" s="39" t="s">
        <v>87</v>
      </c>
      <c r="F5" s="32" t="s">
        <v>88</v>
      </c>
      <c r="G5" s="39" t="s">
        <v>170</v>
      </c>
      <c r="H5" s="32" t="s">
        <v>89</v>
      </c>
      <c r="I5" s="32" t="s">
        <v>90</v>
      </c>
      <c r="J5" s="32" t="s">
        <v>157</v>
      </c>
      <c r="K5" s="39" t="s">
        <v>190</v>
      </c>
      <c r="L5" s="3" t="str">
        <f>VLOOKUP(Table1[[#This Row],[Importance]],'Logic and Calculation'!$H$3:$J$12,3,FALSE)</f>
        <v>Medium</v>
      </c>
      <c r="M5" s="33">
        <v>6</v>
      </c>
      <c r="N5" s="3">
        <f>VLOOKUP(Table1[[#This Row],[Importance]],'Logic and Calculation'!$H$3:$J$12,2,FALSE)</f>
        <v>-9</v>
      </c>
      <c r="O5" s="34" t="s">
        <v>137</v>
      </c>
    </row>
    <row r="6" spans="1:15" ht="55.2" customHeight="1" x14ac:dyDescent="0.3">
      <c r="A6" s="31" t="s">
        <v>61</v>
      </c>
      <c r="B6" s="3" t="s">
        <v>23</v>
      </c>
      <c r="C6" s="32" t="s">
        <v>66</v>
      </c>
      <c r="D6" s="3" t="s">
        <v>18</v>
      </c>
      <c r="E6" s="39" t="s">
        <v>91</v>
      </c>
      <c r="F6" s="32" t="s">
        <v>92</v>
      </c>
      <c r="G6" s="39" t="s">
        <v>199</v>
      </c>
      <c r="H6" s="32" t="s">
        <v>93</v>
      </c>
      <c r="I6" s="32" t="s">
        <v>68</v>
      </c>
      <c r="J6" s="32" t="s">
        <v>156</v>
      </c>
      <c r="K6" s="39" t="s">
        <v>191</v>
      </c>
      <c r="L6" s="3" t="str">
        <f>VLOOKUP(Table1[[#This Row],[Importance]],'Logic and Calculation'!$H$3:$J$12,3,FALSE)</f>
        <v>High</v>
      </c>
      <c r="M6" s="33">
        <v>8</v>
      </c>
      <c r="N6" s="3">
        <f>VLOOKUP(Table1[[#This Row],[Importance]],'Logic and Calculation'!$H$3:$J$12,2,FALSE)</f>
        <v>-13</v>
      </c>
      <c r="O6" s="34" t="s">
        <v>138</v>
      </c>
    </row>
    <row r="7" spans="1:15" ht="55.2" customHeight="1" x14ac:dyDescent="0.3">
      <c r="A7" s="31" t="s">
        <v>62</v>
      </c>
      <c r="B7" s="3" t="s">
        <v>24</v>
      </c>
      <c r="C7" s="32" t="s">
        <v>152</v>
      </c>
      <c r="D7" s="3" t="s">
        <v>18</v>
      </c>
      <c r="E7" s="39" t="s">
        <v>180</v>
      </c>
      <c r="F7" s="32" t="s">
        <v>94</v>
      </c>
      <c r="G7" s="39" t="s">
        <v>171</v>
      </c>
      <c r="H7" s="32" t="s">
        <v>95</v>
      </c>
      <c r="I7" s="32" t="s">
        <v>96</v>
      </c>
      <c r="J7" s="32" t="s">
        <v>161</v>
      </c>
      <c r="K7" s="39" t="s">
        <v>192</v>
      </c>
      <c r="L7" s="3" t="str">
        <f>VLOOKUP(Table1[[#This Row],[Importance]],'Logic and Calculation'!$H$3:$J$12,3,FALSE)</f>
        <v>High</v>
      </c>
      <c r="M7" s="33">
        <v>8</v>
      </c>
      <c r="N7" s="3">
        <f>VLOOKUP(Table1[[#This Row],[Importance]],'Logic and Calculation'!$H$3:$J$12,2,FALSE)</f>
        <v>-13</v>
      </c>
      <c r="O7" s="34" t="s">
        <v>139</v>
      </c>
    </row>
    <row r="8" spans="1:15" ht="48" customHeight="1" x14ac:dyDescent="0.3">
      <c r="A8" s="31" t="s">
        <v>63</v>
      </c>
      <c r="B8" s="3" t="s">
        <v>25</v>
      </c>
      <c r="C8" s="32" t="s">
        <v>67</v>
      </c>
      <c r="D8" s="3" t="s">
        <v>18</v>
      </c>
      <c r="E8" s="39" t="s">
        <v>181</v>
      </c>
      <c r="F8" s="32" t="s">
        <v>97</v>
      </c>
      <c r="G8" s="39" t="s">
        <v>172</v>
      </c>
      <c r="H8" s="32" t="s">
        <v>98</v>
      </c>
      <c r="I8" s="32" t="s">
        <v>99</v>
      </c>
      <c r="J8" s="32" t="s">
        <v>159</v>
      </c>
      <c r="K8" s="39" t="s">
        <v>193</v>
      </c>
      <c r="L8" s="3" t="str">
        <f>VLOOKUP(Table1[[#This Row],[Importance]],'Logic and Calculation'!$H$3:$J$12,3,FALSE)</f>
        <v>High</v>
      </c>
      <c r="M8" s="33">
        <v>9</v>
      </c>
      <c r="N8" s="3">
        <f>VLOOKUP(Table1[[#This Row],[Importance]],'Logic and Calculation'!$H$3:$J$12,2,FALSE)</f>
        <v>-15</v>
      </c>
      <c r="O8" s="34" t="s">
        <v>140</v>
      </c>
    </row>
    <row r="9" spans="1:15" ht="50.4" customHeight="1" x14ac:dyDescent="0.3">
      <c r="A9" s="35" t="s">
        <v>61</v>
      </c>
      <c r="B9" s="3" t="s">
        <v>26</v>
      </c>
      <c r="C9" s="26" t="s">
        <v>100</v>
      </c>
      <c r="D9" s="25" t="s">
        <v>18</v>
      </c>
      <c r="E9" s="41" t="s">
        <v>182</v>
      </c>
      <c r="F9" s="25" t="s">
        <v>101</v>
      </c>
      <c r="G9" s="40" t="s">
        <v>173</v>
      </c>
      <c r="H9" s="25" t="s">
        <v>102</v>
      </c>
      <c r="I9" s="25" t="s">
        <v>103</v>
      </c>
      <c r="J9" s="25" t="s">
        <v>160</v>
      </c>
      <c r="K9" s="40" t="s">
        <v>194</v>
      </c>
      <c r="L9" s="3" t="str">
        <f>VLOOKUP(Table1[[#This Row],[Importance]],'Logic and Calculation'!$H$3:$J$12,3,FALSE)</f>
        <v>Medium</v>
      </c>
      <c r="M9" s="33">
        <v>6</v>
      </c>
      <c r="N9" s="3">
        <f>VLOOKUP(Table1[[#This Row],[Importance]],'Logic and Calculation'!$H$3:$J$12,2,FALSE)</f>
        <v>-9</v>
      </c>
      <c r="O9" s="34" t="s">
        <v>141</v>
      </c>
    </row>
    <row r="10" spans="1:15" ht="36" x14ac:dyDescent="0.3">
      <c r="A10" s="31" t="s">
        <v>63</v>
      </c>
      <c r="B10" s="3" t="s">
        <v>27</v>
      </c>
      <c r="C10" s="32" t="s">
        <v>104</v>
      </c>
      <c r="D10" s="25" t="s">
        <v>18</v>
      </c>
      <c r="E10" s="41" t="s">
        <v>183</v>
      </c>
      <c r="F10" s="25" t="s">
        <v>105</v>
      </c>
      <c r="G10" s="40" t="s">
        <v>200</v>
      </c>
      <c r="H10" s="25" t="s">
        <v>106</v>
      </c>
      <c r="I10" s="25" t="s">
        <v>107</v>
      </c>
      <c r="J10" s="25" t="s">
        <v>162</v>
      </c>
      <c r="K10" s="40" t="s">
        <v>195</v>
      </c>
      <c r="L10" s="3" t="str">
        <f>VLOOKUP(Table1[[#This Row],[Importance]],'Logic and Calculation'!$H$3:$J$12,3,FALSE)</f>
        <v>Medium</v>
      </c>
      <c r="M10" s="33">
        <v>5</v>
      </c>
      <c r="N10" s="3">
        <f>VLOOKUP(Table1[[#This Row],[Importance]],'Logic and Calculation'!$H$3:$J$12,2,FALSE)</f>
        <v>-7</v>
      </c>
      <c r="O10" s="34" t="s">
        <v>142</v>
      </c>
    </row>
    <row r="11" spans="1:15" ht="48" x14ac:dyDescent="0.3">
      <c r="A11" s="35" t="s">
        <v>61</v>
      </c>
      <c r="B11" s="3" t="s">
        <v>28</v>
      </c>
      <c r="C11" s="26" t="s">
        <v>108</v>
      </c>
      <c r="D11" s="25" t="s">
        <v>18</v>
      </c>
      <c r="E11" s="41" t="s">
        <v>184</v>
      </c>
      <c r="F11" s="25" t="s">
        <v>109</v>
      </c>
      <c r="G11" s="40" t="s">
        <v>174</v>
      </c>
      <c r="H11" s="25" t="s">
        <v>110</v>
      </c>
      <c r="I11" s="25" t="s">
        <v>111</v>
      </c>
      <c r="J11" s="25" t="s">
        <v>163</v>
      </c>
      <c r="K11" s="40" t="s">
        <v>196</v>
      </c>
      <c r="L11" s="3" t="str">
        <f>VLOOKUP(Table1[[#This Row],[Importance]],'Logic and Calculation'!$H$3:$J$12,3,FALSE)</f>
        <v>High</v>
      </c>
      <c r="M11" s="33">
        <v>9</v>
      </c>
      <c r="N11" s="3">
        <f>VLOOKUP(Table1[[#This Row],[Importance]],'Logic and Calculation'!$H$3:$J$12,2,FALSE)</f>
        <v>-15</v>
      </c>
      <c r="O11" s="34" t="s">
        <v>143</v>
      </c>
    </row>
    <row r="12" spans="1:15" ht="60" x14ac:dyDescent="0.3">
      <c r="A12" s="35" t="s">
        <v>60</v>
      </c>
      <c r="B12" s="3" t="s">
        <v>29</v>
      </c>
      <c r="C12" s="26" t="s">
        <v>112</v>
      </c>
      <c r="D12" s="25" t="s">
        <v>18</v>
      </c>
      <c r="E12" s="41" t="s">
        <v>185</v>
      </c>
      <c r="F12" s="25" t="s">
        <v>113</v>
      </c>
      <c r="G12" s="40" t="s">
        <v>175</v>
      </c>
      <c r="H12" s="25" t="s">
        <v>114</v>
      </c>
      <c r="I12" s="25" t="s">
        <v>115</v>
      </c>
      <c r="J12" s="25" t="s">
        <v>163</v>
      </c>
      <c r="K12" s="40" t="s">
        <v>197</v>
      </c>
      <c r="L12" s="3" t="str">
        <f>VLOOKUP(Table1[[#This Row],[Importance]],'Logic and Calculation'!$H$3:$J$12,3,FALSE)</f>
        <v>Critical</v>
      </c>
      <c r="M12" s="33">
        <v>10</v>
      </c>
      <c r="N12" s="3">
        <f>VLOOKUP(Table1[[#This Row],[Importance]],'Logic and Calculation'!$H$3:$J$12,2,FALSE)</f>
        <v>-18</v>
      </c>
      <c r="O12" s="34" t="s">
        <v>144</v>
      </c>
    </row>
    <row r="13" spans="1:15" ht="60" x14ac:dyDescent="0.3">
      <c r="A13" s="35" t="s">
        <v>62</v>
      </c>
      <c r="B13" s="3" t="s">
        <v>30</v>
      </c>
      <c r="C13" s="26" t="s">
        <v>116</v>
      </c>
      <c r="D13" s="25" t="s">
        <v>18</v>
      </c>
      <c r="E13" s="41" t="s">
        <v>186</v>
      </c>
      <c r="F13" s="25" t="s">
        <v>117</v>
      </c>
      <c r="G13" s="40" t="s">
        <v>176</v>
      </c>
      <c r="H13" s="25" t="s">
        <v>118</v>
      </c>
      <c r="I13" s="25" t="s">
        <v>119</v>
      </c>
      <c r="J13" s="25" t="s">
        <v>158</v>
      </c>
      <c r="K13" s="40" t="s">
        <v>198</v>
      </c>
      <c r="L13" s="3" t="str">
        <f>VLOOKUP(Table1[[#This Row],[Importance]],'Logic and Calculation'!$H$3:$J$12,3,FALSE)</f>
        <v>Medium</v>
      </c>
      <c r="M13" s="33">
        <v>6</v>
      </c>
      <c r="N13" s="3">
        <f>VLOOKUP(Table1[[#This Row],[Importance]],'Logic and Calculation'!$H$3:$J$12,2,FALSE)</f>
        <v>-9</v>
      </c>
      <c r="O13" s="34" t="s">
        <v>145</v>
      </c>
    </row>
    <row r="14" spans="1:15" ht="28.8" x14ac:dyDescent="0.3">
      <c r="A14" s="35" t="s">
        <v>120</v>
      </c>
      <c r="B14" s="3" t="s">
        <v>31</v>
      </c>
      <c r="C14" s="26" t="s">
        <v>121</v>
      </c>
      <c r="D14" s="25" t="s">
        <v>18</v>
      </c>
      <c r="E14" s="26" t="s">
        <v>122</v>
      </c>
      <c r="F14" s="25" t="s">
        <v>123</v>
      </c>
      <c r="G14" s="25" t="s">
        <v>124</v>
      </c>
      <c r="H14" s="25" t="s">
        <v>125</v>
      </c>
      <c r="I14" s="25" t="s">
        <v>126</v>
      </c>
      <c r="J14" s="25" t="s">
        <v>166</v>
      </c>
      <c r="K14" s="25" t="s">
        <v>127</v>
      </c>
      <c r="L14" s="3" t="str">
        <f>VLOOKUP(Table1[[#This Row],[Importance]],'Logic and Calculation'!$H$3:$J$12,3,FALSE)</f>
        <v>Medium</v>
      </c>
      <c r="M14" s="33">
        <v>7</v>
      </c>
      <c r="N14" s="3">
        <f>VLOOKUP(Table1[[#This Row],[Importance]],'Logic and Calculation'!$H$3:$J$12,2,FALSE)</f>
        <v>-11</v>
      </c>
      <c r="O14" s="34" t="s">
        <v>146</v>
      </c>
    </row>
    <row r="15" spans="1:15" ht="28.8" x14ac:dyDescent="0.3">
      <c r="A15" s="35" t="s">
        <v>120</v>
      </c>
      <c r="B15" s="3" t="s">
        <v>77</v>
      </c>
      <c r="C15" s="26" t="s">
        <v>128</v>
      </c>
      <c r="D15" s="25" t="s">
        <v>18</v>
      </c>
      <c r="E15" s="26" t="s">
        <v>129</v>
      </c>
      <c r="F15" s="25" t="s">
        <v>130</v>
      </c>
      <c r="G15" s="25" t="s">
        <v>131</v>
      </c>
      <c r="H15" s="25" t="s">
        <v>132</v>
      </c>
      <c r="I15" s="25" t="s">
        <v>133</v>
      </c>
      <c r="J15" s="25" t="s">
        <v>166</v>
      </c>
      <c r="K15" s="25" t="s">
        <v>127</v>
      </c>
      <c r="L15" s="3" t="str">
        <f>VLOOKUP(Table1[[#This Row],[Importance]],'Logic and Calculation'!$H$3:$J$12,3,FALSE)</f>
        <v>High</v>
      </c>
      <c r="M15" s="33">
        <v>8</v>
      </c>
      <c r="N15" s="3">
        <f>VLOOKUP(Table1[[#This Row],[Importance]],'Logic and Calculation'!$H$3:$J$12,2,FALSE)</f>
        <v>-13</v>
      </c>
      <c r="O15" s="34" t="s">
        <v>147</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1" t="s">
        <v>69</v>
      </c>
      <c r="M2" s="11" t="s">
        <v>37</v>
      </c>
    </row>
    <row r="3" spans="1:13" x14ac:dyDescent="0.3">
      <c r="A3" t="s">
        <v>38</v>
      </c>
      <c r="B3">
        <f>SUM(F8:F952)</f>
        <v>0</v>
      </c>
      <c r="D3" t="s">
        <v>75</v>
      </c>
      <c r="H3">
        <v>10</v>
      </c>
      <c r="I3">
        <v>-18</v>
      </c>
      <c r="J3" t="s">
        <v>39</v>
      </c>
      <c r="L3" t="s">
        <v>154</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153</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2026-06-22T20:03:01Z</dcterms:modified>
</cp:coreProperties>
</file>