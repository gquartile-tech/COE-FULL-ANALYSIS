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FULL ANALYSIS/AGENT MASTERY SCORE/"/>
    </mc:Choice>
  </mc:AlternateContent>
  <xr:revisionPtr revIDLastSave="192" documentId="8_{070950E3-E89F-4947-8F13-1A3D60E112EC}" xr6:coauthVersionLast="47" xr6:coauthVersionMax="47" xr10:uidLastSave="{D3BA6C0D-D2F6-4840-B059-1C9F9850C341}"/>
  <bookViews>
    <workbookView xWindow="-57720" yWindow="0" windowWidth="29040" windowHeight="15720" activeTab="1"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2" l="1"/>
  <c r="K4" i="2"/>
  <c r="K5" i="2"/>
  <c r="K6" i="2"/>
  <c r="K7" i="2"/>
  <c r="K8" i="2"/>
  <c r="K9" i="2"/>
  <c r="K10" i="2"/>
  <c r="K11" i="2"/>
  <c r="K12" i="2"/>
  <c r="K13" i="2"/>
  <c r="K14" i="2"/>
  <c r="K15" i="2"/>
  <c r="M3" i="2"/>
  <c r="E9" i="3" s="1"/>
  <c r="M4" i="2"/>
  <c r="E10" i="3" s="1"/>
  <c r="M5" i="2"/>
  <c r="E11" i="3" s="1"/>
  <c r="M6" i="2"/>
  <c r="E12" i="3" s="1"/>
  <c r="M7" i="2"/>
  <c r="E13" i="3" s="1"/>
  <c r="M8" i="2"/>
  <c r="E14" i="3" s="1"/>
  <c r="M9" i="2"/>
  <c r="E15" i="3" s="1"/>
  <c r="M10" i="2"/>
  <c r="E16" i="3" s="1"/>
  <c r="M11" i="2"/>
  <c r="E17" i="3" s="1"/>
  <c r="M12" i="2"/>
  <c r="E18" i="3" s="1"/>
  <c r="M13" i="2"/>
  <c r="E19" i="3" s="1"/>
  <c r="M14" i="2"/>
  <c r="E20" i="3" s="1"/>
  <c r="M15" i="2"/>
  <c r="E21"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K2" i="2"/>
  <c r="C11" i="3"/>
  <c r="B11" i="3"/>
  <c r="A11" i="3"/>
  <c r="C10" i="3"/>
  <c r="B10" i="3"/>
  <c r="A10" i="3"/>
  <c r="C9" i="3"/>
  <c r="B9" i="3"/>
  <c r="A9" i="3"/>
  <c r="D8" i="3"/>
  <c r="C8" i="3"/>
  <c r="B8" i="3"/>
  <c r="A8" i="3"/>
  <c r="M2" i="2"/>
  <c r="E8" i="3" s="1"/>
  <c r="A28" i="1" l="1" a="1"/>
  <c r="A28" i="1" s="1"/>
  <c r="F8" i="3"/>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<sst xmlns="http://schemas.openxmlformats.org/spreadsheetml/2006/main" count="231" uniqueCount="190">
  <si>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</si>
  <si>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</si>
  <si>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</si>
  <si>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</si>
  <si>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</si>
  <si>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</si>
  <si>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</si>
  <si>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</si>
  <si>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</si>
  <si>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</si>
  <si>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</si>
  <si>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</si>
  <si>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</si>
  <si>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</si>
  <si>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</si>
  <si>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</si>
  <si>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</si>
  <si>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C001</t>
  </si>
  <si>
    <t>OK</t>
  </si>
  <si>
    <t>Medium</t>
  </si>
  <si>
    <t>C002</t>
  </si>
  <si>
    <t>C003</t>
  </si>
  <si>
    <t>C004</t>
  </si>
  <si>
    <t>C005</t>
  </si>
  <si>
    <t>C006</t>
  </si>
  <si>
    <t>C007</t>
  </si>
  <si>
    <t>C008</t>
  </si>
  <si>
    <t>C009</t>
  </si>
  <si>
    <t>C010</t>
  </si>
  <si>
    <t>C011</t>
  </si>
  <si>
    <t>C012</t>
  </si>
  <si>
    <t>C013</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</si>
  <si>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</si>
  <si>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</si>
  <si>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</si>
  <si>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</si>
  <si>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</si>
  <si>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</si>
  <si>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</si>
  <si>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</si>
  <si>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</si>
  <si>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</si>
  <si>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</si>
  <si>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</si>
  <si>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</si>
  <si>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</si>
  <si>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</si>
  <si>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</si>
  <si>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</si>
  <si>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</si>
  <si>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</si>
  <si>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</si>
  <si>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</si>
  <si>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ACoS Constrains &gt;</t>
  </si>
  <si>
    <t>TACoS Constrains &gt;</t>
  </si>
  <si>
    <t>Budget Constrains &gt;</t>
  </si>
  <si>
    <t>PRIMARY KPI</t>
  </si>
  <si>
    <t>53588A - US - ZooPro — Account Mastery Analysis</t>
  </si>
  <si>
    <t>Account Challenges Documented</t>
  </si>
  <si>
    <t>Objective vs Near-Term Alignment</t>
  </si>
  <si>
    <t>Client Objective &amp; Success Criteria</t>
  </si>
  <si>
    <t>Account Context Understanding</t>
  </si>
  <si>
    <t>Strategy &amp; Journey Ownership</t>
  </si>
  <si>
    <t>Client Engagement &amp; Communication</t>
  </si>
  <si>
    <t>Objective Clearly Defined</t>
  </si>
  <si>
    <t>Seasonality Awareness</t>
  </si>
  <si>
    <t>Operational Constraints Awareness</t>
  </si>
  <si>
    <t>Narrative Consistency</t>
  </si>
  <si>
    <t>If operational blockers are not recognized, performance issues may be misdiagnosed as purely media or strategy problems.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</si>
  <si>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</si>
  <si>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</si>
  <si>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</si>
  <si>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</si>
  <si>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</si>
  <si>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</si>
  <si>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</si>
  <si>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</si>
  <si>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C014</t>
  </si>
  <si>
    <t>Verify whether the client objective is clearly documented through usable KPI targets and supporting account context.</t>
  </si>
  <si>
    <t>Mastery starts with knowing what success looks like for the client and how it should be measured.</t>
  </si>
  <si>
    <t>Review 54_Project_Dataset_on_SF for daily_target_spend__c, Target_ROAS__c, Target_ACoS__c, Target_TACoS__c, and CS_Notes__c. Confirm that the account has clear numeric targets and contextual explanation.</t>
  </si>
  <si>
    <t>Project data defines daily target spend as {daily_target_spend}, target ROAS as {target_roas}, target ACoS as {target_acos}, and target TACoS as {target_tacos}. Objective context documented in CS Notes: {objective_context}.</t>
  </si>
  <si>
    <t>Without clearly documented targets and context, the account cannot be assessed against the right objective or managed toward a shared outcome.</t>
  </si>
  <si>
    <t>54_Project_Dataset_on_SF | daily_target_spend__c; Target_ROAS__c; Target_ACoS__c; Target_TACoS__c; CS_Notes__c</t>
  </si>
  <si>
    <t>Verify whether the documented near-term priorities support the account objective and KPI direction.</t>
  </si>
  <si>
    <t>Short-term actions should reinforce, not contradict, the primary account objective.</t>
  </si>
  <si>
    <t>Compare KPI targets and CS Notes with QBR_Priority__c, QBR_Plan__c, BFCM_Priority__c, and BFCM_Plan__c in 54_Project_Dataset_on_SF. Identify whether priorities are aligned or conflicting.</t>
  </si>
  <si>
    <t>Project targets indicate {objective_direction}, while near-term priorities are documented as QBR priority {qbr_priority} with plan {qbr_plan}, and BFCM priority {bfcm_priority} with plan {bfcm_plan}. Alignment result: {objective_alignment_result}.</t>
  </si>
  <si>
    <t>If the near-term plan conflicts with the KPI targets or documented objective, execution can become inconsistent and weaken strategic ownership.</t>
  </si>
  <si>
    <t>54_Project_Dataset_on_SF | daily_target_spend__c; Target_ROAS__c; Target_ACoS__c; Target_TACoS__c; QBR_Priority__c; QBR_Plan__c; BFCM_Priority__c; BFCM_Plan__c; CS_Notes__c</t>
  </si>
  <si>
    <t>Verify whether the main account blockers and risks are clearly documented.</t>
  </si>
  <si>
    <t>A CSM cannot demonstrate mastery without understanding what is limiting account performance or stability.</t>
  </si>
  <si>
    <t>Review CS_Notes__c, risk_notes, and At_Risk__c in 54_Project_Dataset_on_SF. Check whether the challenges are specific, relevant, and explain real account friction.</t>
  </si>
  <si>
    <t>Current account challenges documented in project data are: {challenge_summary}. At-risk flag = {at_risk_flag}; risk notes = {risk_notes}.</t>
  </si>
  <si>
    <t>Understanding the real blockers helps CoE focus on the most relevant recommendations and avoids treating symptoms instead of causes.</t>
  </si>
  <si>
    <t>54_Project_Dataset_on_SF | CS_Notes__c; risk_notes; At_Risk__c</t>
  </si>
  <si>
    <t>Verify whether seasonal patterns affecting demand, pacing, or performance are recognized and documented.</t>
  </si>
  <si>
    <t>Seasonality changes demand patterns, budget pacing, and the expected balance between scale and efficiency.</t>
  </si>
  <si>
    <t>Review CS_Notes__c, QBR/BFCM planning fields, and monthly trend tabs such as 04_L24M_Monthly_Performance_Sum and 05_Monthly_Sales_YoY_Comparison. Look for explicit seasonality references and supporting performance patterns.</t>
  </si>
  <si>
    <t>Seasonality references identified include {seasonality_notes}. Recent trend pattern observed: {seasonality_pattern}.</t>
  </si>
  <si>
    <t>If seasonality is not understood, the account may be evaluated or managed against the wrong expectations, timing, and spend profile.</t>
  </si>
  <si>
    <t>54_Project_Dataset_on_SF + 04_L24M_Monthly_Performance_Sum + 05_Monthly_Sales_YoY_Comparison | CS_Notes__c; QBR_Priority__c; BFCM_Plan__c</t>
  </si>
  <si>
    <t>Verify whether operational constraints affecting performance are documented and acknowledged.</t>
  </si>
  <si>
    <t>Inventory, pricing, buy box, and similar operational issues materially affect advertising outcomes and strategic choices.</t>
  </si>
  <si>
    <t>Review CS_Notes__c and risk_notes for operational issues such as stock constraints, buy box loss, pricing pressure, listing issues, or supply limitations. Cross-check the recent KPI pattern in 02_Date_Range_KPIs__Date_Range_ when helpful.</t>
  </si>
  <si>
    <t>Operational constraints identified in the account narrative include: {operational_constraints}. Supporting performance context: {constraint_performance_context}.</t>
  </si>
  <si>
    <t>54_Project_Dataset_on_SF + 02_Date_Range_KPIs__Date_Range_ | CS_Notes__c; risk_notes; At_Risk__c</t>
  </si>
  <si>
    <t>Verify whether the account has a documented forward-looking roadmap for the next review periods.</t>
  </si>
  <si>
    <t>A strong CSM should know not only the current state, but also what should happen next and why.</t>
  </si>
  <si>
    <t>Review QBR_Priority__c, QBR_Plan__c, BFCM_Priority__c, BFCM_Plan__c, and CS_Notes__c in 54_Project_Dataset_on_SF. Use Customer Journey tabs when available to validate staging or sequencing.</t>
  </si>
  <si>
    <t>Documented roadmap includes QBR priority {qbr_priority} with plan {qbr_plan}, BFCM priority {bfcm_priority} with plan {bfcm_plan}, and broader strategy notes: {strategy_notes}.</t>
  </si>
  <si>
    <t>A clear roadmap improves strategic continuity and shows that the CSM understands how the account should evolve over time.</t>
  </si>
  <si>
    <t>54_Project_Dataset_on_SF (+ 47_Customer_Journey__Last_Quart / 48_Customer_Journey__Marketplac when available) | QBR_Priority__c; QBR_Plan__c; BFCM_Priority__c; BFCM_Plan__c; CS_Notes__c</t>
  </si>
  <si>
    <t>Verify whether the documented account narrative is consistent with the observed KPI profile and strategic fields.</t>
  </si>
  <si>
    <t>A strong CSM should maintain one coherent account story across targets, risks, and observed performance.</t>
  </si>
  <si>
    <t>Compare the project targets and CS Notes in 54_Project_Dataset_on_SF with the current KPI profile in 02_Date_Range_KPIs__Date_Range_. Identify whether the documented narrative matches what the data suggests.</t>
  </si>
  <si>
    <t>Documented narrative indicates {documented_narrative}. Current KPI profile shows ACoS {current_acos}, TACoS {current_tacos}, spend {current_spend}, and sales {current_sales}. Consistency result: {narrative_consistency_result}.</t>
  </si>
  <si>
    <t>Consistency between the documented story and the KPI reality indicates strong ownership; contradictions suggest weak control of the account narrative.</t>
  </si>
  <si>
    <t>54_Project_Dataset_on_SF + 02_Date_Range_KPIs__Date_Range_ | CS_Notes__c; Target_ROAS__c; Target_ACoS__c; Target_TACoS__c; risk_notes</t>
  </si>
  <si>
    <t>Sales Concentration Matches Account Story</t>
  </si>
  <si>
    <t>Verify whether product sales concentration is understood and reflected in the documented account narrative.</t>
  </si>
  <si>
    <t>Highly concentrated accounts require different prioritization and risk management than broad catalogs.</t>
  </si>
  <si>
    <t>Use 07_KPIs_by_Parent_ASIN_by_Month to calculate the share of total sales coming from the top parent ASINs. Compare that concentration with the focus described in CS Notes and project plans.</t>
  </si>
  <si>
    <t>Top {top_parent_asin_count} parent ASINs represent {sales_concentration_pct}% of total sales in the evaluation window. Alignment with documented narrative: {sales_concentration_alignment}.</t>
  </si>
  <si>
    <t>If the CSM does not understand whether sales are concentrated or diversified, product prioritization and protection strategy may be misaligned.</t>
  </si>
  <si>
    <t>07_KPIs_by_Parent_ASIN_by_Month + 54_Project_Dataset_on_SF | ParentASIN; ThisYearTotalSales; CS_Notes__c</t>
  </si>
  <si>
    <t>Client Contact Cadence (last 6 months)</t>
  </si>
  <si>
    <t>Verify whether recent client contact cadence is evidenced or otherwise documented.</t>
  </si>
  <si>
    <t>Regular contact helps maintain alignment, surface changes early, and reduce narrative gaps before the CoE review.</t>
  </si>
  <si>
    <t>Use call-level datasets when available. If no call dataset is present, use QBR planning fields and LastModifiedDate in 54_Project_Dataset_on_SF as partial evidence and treat the control as source-limited.</t>
  </si>
  <si>
    <t>Current review evidence shows QBR priority {qbr_priority}, QBR plan {qbr_plan}, and last project update {project_last_modified}. Documented calls in the last 6 months: {calls_last_6m_if_available}.</t>
  </si>
  <si>
    <t>Without evidence of recent contact cadence, it is harder to tell whether the documented account narrative is current and client-informed.</t>
  </si>
  <si>
    <t>54_Project_Dataset_on_SF (+ future call-insights dataset when available) | QBR_Priority__c; QBR_Plan__c; LastModifiedDate</t>
  </si>
  <si>
    <t>Customizations Documented &amp; Justified</t>
  </si>
  <si>
    <t>Verify whether key account customizations are documented and supported by rationale.</t>
  </si>
  <si>
    <t>Customizations outside the standard framework should be understood, intentional, and explainable.</t>
  </si>
  <si>
    <t>Review CS_Notes__c for references to customizations, overrides, unmanaged areas, or special exceptions. Cross-check 08_Campaign_Report for Imported, Quartile, Quartile_Campaign_Group, and PortfolioName signals that may support the customization narrative.</t>
  </si>
  <si>
    <t>Customizations identified in notes / structure include: {customizations_summary}. Structural evidence observed: {structural_customization_evidence}.</t>
  </si>
  <si>
    <t>If customizations are not documented and justified, CoE cannot assess whether they are intentional strategic choices or uncontrolled drift.</t>
  </si>
  <si>
    <t>54_Project_Dataset_on_SF + 08_Campaign_Report | CS_Notes__c; Imported; Quartile; Quartile_Campaign_Group; PortfolioName</t>
  </si>
  <si>
    <t>Target Spend / KPI Targets Documented</t>
  </si>
  <si>
    <t>Verify whether spend targets and KPI targets are explicitly documented and usable for analysis.</t>
  </si>
  <si>
    <t>Mastery requires knowing the target boundaries and KPI guardrails that define success on the account.</t>
  </si>
  <si>
    <t>Review daily_target_spend__c, Target_ROAS__c, Target_ACoS__c, and Target_TACoS__c in 54_Project_Dataset_on_SF. Compare them with current KPIs from 02_Date_Range_KPIs__Date_Range_ to identify target gaps or missing targets.</t>
  </si>
  <si>
    <t>Target daily spend = {daily_target_spend}; target ROAS = {target_roas}; target ACoS = {target_acos}; target TACoS = {target_tacos}. Current performance vs targets: {target_gap_summary}.</t>
  </si>
  <si>
    <t>If targets are missing or vague, the account cannot be evaluated against the intended objective and the CoE review becomes less precise.</t>
  </si>
  <si>
    <t>54_Project_Dataset_on_SF + 02_Date_Range_KPIs__Date_Range_ | daily_target_spend__c; Target_ROAS__c; Target_ACoS__c; Target_TACoS__c; ACoS; TACoS; AdSpend</t>
  </si>
  <si>
    <t>Tagging / Segmentation Logic Clear</t>
  </si>
  <si>
    <t>Verify whether campaign tagging and segmentation are consistent with the documented account strategy.</t>
  </si>
  <si>
    <t>Tagging and segmentation reveal whether the account structure supports the intended strategy and product focus.</t>
  </si>
  <si>
    <t>Review 08_Campaign_Report and 10_Campaigns_Grouped_by_QT_Camp for Quartile_Campaign_Group, CampaignSubType, PortfolioName, Imported, and spend distribution. Compare the observed structure with the intent documented in CS Notes.</t>
  </si>
  <si>
    <t>Observed tagging / segmentation patterns include {tagging_summary}. Potential structure or tagging issues identified: {tagging_issues}.</t>
  </si>
  <si>
    <t>If tagging and segmentation do not reflect the stated strategy, execution quality and strategic clarity are both reduced.</t>
  </si>
  <si>
    <t>08_Campaign_Report + 10_Campaigns_Grouped_by_QT_Camp + 54_Project_Dataset_on_SF | Quartile_Campaign_Group; CampaignSubType; PortfolioName; Imported; CS_Notes__c</t>
  </si>
  <si>
    <t>On Call</t>
  </si>
  <si>
    <t>On-Call Interaction Quality</t>
  </si>
  <si>
    <t>Verify whether the CSM responds confidently and directly to account questions during the CoE call.</t>
  </si>
  <si>
    <t>Live interaction quality is strong evidence of whether the CSM actually knows the account beyond what is written in the system.</t>
  </si>
  <si>
    <t>Assess the CoE call for response speed, confidence, specificity, and ability to answer follow-up questions without overreliance on generic statements.</t>
  </si>
  <si>
    <t>During the CoE call, the CSM demonstrated {interaction_quality} when responding to account questions. Examples observed: {interaction_examples}.</t>
  </si>
  <si>
    <t>A CSM who understands the account should be able to respond clearly and confidently when questioned on the live review call.</t>
  </si>
  <si>
    <t>Live CoE Review Call / Reviewer Observation</t>
  </si>
  <si>
    <t>On-Call Explanation Quality</t>
  </si>
  <si>
    <t>Verify whether the CSM can explain why the account is being managed the way it is.</t>
  </si>
  <si>
    <t>Mastery is not only knowing what is happening, but also being able to explain the rationale behind the strategy and tradeoffs.</t>
  </si>
  <si>
    <t>During the CoE call, assess whether the CSM explains the logic behind targeting, pacing, structure, priorities, and deviations from the standard approach.</t>
  </si>
  <si>
    <t>The CSM explained the current strategy as {call_strategy_explanation}. Explanation quality assessed as {explanation_quality}.</t>
  </si>
  <si>
    <t>If the CSM cannot explain the reasoning behind the strategy, ownership is weak even if some documentation exists.</t>
  </si>
  <si>
    <t>Use project targets + CS Notes to infer the true objective when no separate objective field exists.</t>
  </si>
  <si>
    <t>Use for growth-vs-efficiency tradeoffs and seasonal planning conflicts.</t>
  </si>
  <si>
    <t>Look for pricing, inventory, stakeholder, budget, profitability, or execution blockers.</t>
  </si>
  <si>
    <t>Use this when notes reference launches, peak season, promotions, or cyclical category demand.</t>
  </si>
  <si>
    <t>Use for inventory, buy box, listing, margin, and pricing constraints.</t>
  </si>
  <si>
    <t>Primary roadmap control until journey tabs become consistently populated.</t>
  </si>
  <si>
    <t>Important contradiction check between targets, notes, and actual performance.</t>
  </si>
  <si>
    <t>Use top-parent concentration as a proxy for strategic focus complexity.</t>
  </si>
  <si>
    <t>Keep as partial / source-limited until call data is consistently available.</t>
  </si>
  <si>
    <t>Use this to capture exceptions, overrides, imports, and unmanaged pockets.</t>
  </si>
  <si>
    <t>One of the most objective mastery controls in the new tab set.</t>
  </si>
  <si>
    <t>Good bridge control between mastery and framework logic.</t>
  </si>
  <si>
    <t>Manual reviewer control; not sourced from Databricks.</t>
  </si>
  <si>
    <t>Manual reviewer control focused on reasoning quality.</t>
  </si>
  <si>
    <t xml:space="preserve">Primary Objective </t>
  </si>
  <si>
    <t>Monthly Budget</t>
  </si>
  <si>
    <t>Context for Customizations</t>
  </si>
  <si>
    <t>ACoS Objective&gt;</t>
  </si>
  <si>
    <t>TACoS Objective &gt;</t>
  </si>
  <si>
    <t>Client Journey Map</t>
  </si>
  <si>
    <t>Key mastery signals are missing or inconsistent, which limits confidence in account ownership and account-story accuracy.</t>
  </si>
  <si>
    <t xml:space="preserve">Compliant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</si>
</sst>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b/>
      <sz val="12"/>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22">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68">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5" fillId="5" borderId="1" xfId="0" applyFont="1" applyFill="1" applyBorder="1" applyAlignment="1">
      <alignment horizontal="center" vertical="center" wrapText="1"/>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0" fillId="5" borderId="9" xfId="0" applyFill="1" applyBorder="1"/>
    <xf numFmtId="0" fontId="0" fillId="5" borderId="7" xfId="0" applyFill="1" applyBorder="1" applyAlignment="1">
      <alignment wrapText="1"/>
    </xf>
    <xf numFmtId="0" fontId="12" fillId="0" borderId="7" xfId="0" applyFont="1" applyBorder="1"/>
    <xf numFmtId="0" fontId="2" fillId="5" borderId="0" xfId="0" applyFont="1" applyFill="1"/>
    <xf numFmtId="0" fontId="9" fillId="5" borderId="0" xfId="0" applyFont="1" applyFill="1" applyAlignment="1">
      <alignment horizontal="center"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3" fillId="0" borderId="2" xfId="0" applyFont="1" applyBorder="1" applyAlignment="1">
      <alignment horizontal="center" vertical="center" wrapText="1"/>
    </xf>
    <xf numFmtId="0" fontId="14" fillId="0" borderId="2" xfId="0" applyFont="1" applyBorder="1" applyAlignment="1">
      <alignment horizontal="center" vertical="center" wrapText="1"/>
    </xf>
    <xf numFmtId="0" fontId="5" fillId="2" borderId="1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0" fillId="0" borderId="14"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5" xfId="0" applyBorder="1" applyAlignment="1">
      <alignment wrapText="1"/>
    </xf>
    <xf numFmtId="0" fontId="14" fillId="0" borderId="14" xfId="0" applyFont="1" applyBorder="1" applyAlignment="1">
      <alignment horizontal="center" vertical="center" wrapText="1"/>
    </xf>
    <xf numFmtId="0" fontId="1" fillId="7" borderId="5" xfId="0" applyFont="1" applyFill="1" applyBorder="1" applyAlignment="1">
      <alignment horizontal="center" vertical="center"/>
    </xf>
    <xf numFmtId="0" fontId="0" fillId="7" borderId="8" xfId="0" applyFill="1" applyBorder="1"/>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10" xfId="0" applyFont="1" applyFill="1" applyBorder="1" applyAlignment="1">
      <alignment horizontal="center" vertical="top" wrapText="1"/>
    </xf>
    <xf numFmtId="0" fontId="0" fillId="0" borderId="8" xfId="0" applyBorder="1"/>
    <xf numFmtId="0" fontId="1" fillId="5" borderId="5" xfId="0" applyFont="1" applyFill="1" applyBorder="1" applyAlignment="1">
      <alignment horizontal="center" vertical="center"/>
    </xf>
    <xf numFmtId="0" fontId="0" fillId="0" borderId="6" xfId="0" applyBorder="1"/>
    <xf numFmtId="0" fontId="0" fillId="0" borderId="0" xfId="0" applyAlignment="1">
      <alignment horizontal="center"/>
    </xf>
    <xf numFmtId="0" fontId="0" fillId="5" borderId="10" xfId="0" applyFill="1" applyBorder="1" applyAlignment="1">
      <alignment horizontal="center"/>
    </xf>
    <xf numFmtId="0" fontId="0" fillId="5" borderId="8" xfId="0" applyFill="1" applyBorder="1" applyAlignment="1">
      <alignment horizontal="center"/>
    </xf>
    <xf numFmtId="0" fontId="0" fillId="5" borderId="16" xfId="0" applyFill="1" applyBorder="1" applyAlignment="1">
      <alignment horizontal="center"/>
    </xf>
    <xf numFmtId="0" fontId="0" fillId="5" borderId="20" xfId="0" applyFill="1" applyBorder="1" applyAlignment="1">
      <alignment horizontal="center"/>
    </xf>
    <xf numFmtId="0" fontId="0" fillId="5" borderId="17" xfId="0" applyFill="1" applyBorder="1" applyAlignment="1">
      <alignment horizontal="center"/>
    </xf>
    <xf numFmtId="0" fontId="0" fillId="5" borderId="18" xfId="0" applyFill="1" applyBorder="1" applyAlignment="1">
      <alignment horizontal="center"/>
    </xf>
    <xf numFmtId="0" fontId="2" fillId="5" borderId="10" xfId="0" applyFont="1" applyFill="1" applyBorder="1" applyAlignment="1">
      <alignment horizontal="center" vertical="center"/>
    </xf>
    <xf numFmtId="0" fontId="2" fillId="5" borderId="16" xfId="0" applyFont="1" applyFill="1" applyBorder="1" applyAlignment="1">
      <alignment horizontal="center" vertical="center"/>
    </xf>
    <xf numFmtId="0" fontId="2" fillId="5" borderId="20" xfId="0" applyFont="1" applyFill="1" applyBorder="1" applyAlignment="1">
      <alignment horizontal="center" vertical="center"/>
    </xf>
    <xf numFmtId="0" fontId="2" fillId="5" borderId="18" xfId="0" applyFont="1" applyFill="1" applyBorder="1" applyAlignment="1">
      <alignment horizontal="center" vertical="center"/>
    </xf>
    <xf numFmtId="0" fontId="2" fillId="5" borderId="19" xfId="0" applyFont="1" applyFill="1" applyBorder="1" applyAlignment="1">
      <alignment horizontal="center" vertical="center"/>
    </xf>
    <xf numFmtId="0" fontId="2" fillId="5" borderId="11" xfId="0" applyFont="1" applyFill="1" applyBorder="1" applyAlignment="1">
      <alignment horizontal="center" vertical="center"/>
    </xf>
    <xf numFmtId="0" fontId="0" fillId="5" borderId="19" xfId="0" applyFill="1" applyBorder="1" applyAlignment="1">
      <alignment horizontal="center"/>
    </xf>
    <xf numFmtId="0" fontId="0" fillId="5" borderId="0" xfId="0" applyFill="1" applyAlignment="1">
      <alignment horizontal="center"/>
    </xf>
    <xf numFmtId="0" fontId="0" fillId="5" borderId="11" xfId="0" applyFill="1" applyBorder="1" applyAlignment="1">
      <alignment horizontal="center"/>
    </xf>
    <xf numFmtId="0" fontId="2" fillId="5" borderId="5" xfId="0" applyFont="1" applyFill="1" applyBorder="1" applyAlignment="1">
      <alignment horizontal="center" wrapText="1"/>
    </xf>
    <xf numFmtId="0" fontId="2" fillId="5" borderId="21" xfId="0" applyFont="1" applyFill="1" applyBorder="1" applyAlignment="1">
      <alignment horizontal="center" wrapText="1"/>
    </xf>
  </cellXfs>
  <cellStyles count="1">
    <cellStyle name="Normal" xfId="0" builtinId="0"/>
  </cellStyles>
  <dxfs count="28">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N15" totalsRowShown="0" headerRowDxfId="27" dataDxfId="25" headerRowBorderDxfId="26" tableBorderDxfId="24" totalsRowBorderDxfId="23">
  <autoFilter ref="A1:N15" xr:uid="{00000000-0009-0000-0100-000001000000}"/>
  <tableColumns count="14">
    <tableColumn id="1" xr3:uid="{00000000-0010-0000-0000-000001000000}" name="Block" dataDxfId="22"/>
    <tableColumn id="2" xr3:uid="{00000000-0010-0000-0000-000002000000}" name="Control ID" dataDxfId="21"/>
    <tableColumn id="3" xr3:uid="{00000000-0010-0000-0000-000003000000}" name="Control Name" dataDxfId="20"/>
    <tableColumn id="4" xr3:uid="{00000000-0010-0000-0000-000004000000}" name="STATUS" dataDxfId="19"/>
    <tableColumn id="5" xr3:uid="{00000000-0010-0000-0000-000005000000}" name="What" dataDxfId="18"/>
    <tableColumn id="6" xr3:uid="{00000000-0010-0000-0000-000006000000}" name="Why" dataDxfId="17"/>
    <tableColumn id="7" xr3:uid="{00000000-0010-0000-0000-000007000000}" name="How" dataDxfId="16"/>
    <tableColumn id="14" xr3:uid="{00000000-0010-0000-0000-00000E000000}" name="What We Saw" dataDxfId="15"/>
    <tableColumn id="13" xr3:uid="{00000000-0010-0000-0000-00000D000000}" name="Why It Matters" dataDxfId="14"/>
    <tableColumn id="8" xr3:uid="{00000000-0010-0000-0000-000008000000}" name="Data Source" dataDxfId="13"/>
    <tableColumn id="9" xr3:uid="{00000000-0010-0000-0000-000009000000}" name="Impact" dataDxfId="12">
      <calculatedColumnFormula>VLOOKUP(Table1[[#This Row],[Importance]],'Logic and Calculation'!$H$3:$J$12,3,FALSE)</calculatedColumnFormula>
    </tableColumn>
    <tableColumn id="10" xr3:uid="{00000000-0010-0000-0000-00000A000000}" name="Importance" dataDxfId="11"/>
    <tableColumn id="11" xr3:uid="{00000000-0010-0000-0000-00000B000000}" name="Priority" dataDxfId="10">
      <calculatedColumnFormula>VLOOKUP(Table1[[#This Row],[Importance]],'Logic and Calculation'!$H$3:$J$12,2,FALSE)</calculatedColumnFormula>
    </tableColumn>
    <tableColumn id="12" xr3:uid="{00000000-0010-0000-0000-00000C000000}"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51"/>
  <sheetViews>
    <sheetView zoomScale="70" zoomScaleNormal="70" workbookViewId="0">
      <pane ySplit="8" topLeftCell="A9" activePane="bottomLeft" state="frozen"/>
      <selection pane="bottomLeft" activeCell="D24" sqref="D24"/>
    </sheetView>
  </sheetViews>
  <sheetFormatPr defaultRowHeight="14.4" x14ac:dyDescent="0.3"/>
  <cols>
    <col min="1" max="1" width="21.44140625" customWidth="1"/>
    <col min="2" max="2" width="27.5546875" customWidth="1"/>
    <col min="3" max="3" width="38.21875" customWidth="1"/>
    <col min="4" max="4" width="52" style="14" customWidth="1"/>
    <col min="5" max="5" width="50.21875" style="14" customWidth="1"/>
    <col min="6" max="6" width="34.44140625" customWidth="1"/>
    <col min="7" max="7" width="26.77734375" style="8" customWidth="1"/>
    <col min="8" max="8" width="21.5546875" style="8" bestFit="1" customWidth="1"/>
    <col min="9" max="9" width="26.21875" style="8" bestFit="1" customWidth="1"/>
    <col min="10" max="10" width="19.6640625" style="8" bestFit="1" customWidth="1"/>
    <col min="11" max="11" width="19.44140625" style="8" bestFit="1" customWidth="1"/>
    <col min="12" max="12" width="21.88671875" style="8" bestFit="1" customWidth="1"/>
    <col min="13" max="13" width="25" style="8" bestFit="1" customWidth="1"/>
    <col min="14" max="14" width="25.6640625" style="8" bestFit="1" customWidth="1"/>
    <col min="15" max="15" width="28.44140625" style="8" bestFit="1" customWidth="1"/>
    <col min="16" max="16" width="27.6640625" style="8" bestFit="1" customWidth="1"/>
    <col min="17" max="17" width="22.33203125" style="8" bestFit="1" customWidth="1"/>
    <col min="18" max="18" width="16.88671875" style="8" bestFit="1" customWidth="1"/>
    <col min="19" max="19" width="10.6640625" style="8" bestFit="1" customWidth="1"/>
    <col min="20" max="20" width="26.6640625" style="8" bestFit="1" customWidth="1"/>
    <col min="21" max="21" width="27.6640625" style="8" bestFit="1" customWidth="1"/>
    <col min="22" max="22" width="18.88671875" style="8" bestFit="1" customWidth="1"/>
    <col min="23" max="23" width="20" style="8" bestFit="1" customWidth="1"/>
    <col min="24" max="24" width="14.44140625" style="8" bestFit="1" customWidth="1"/>
    <col min="25" max="25" width="19.44140625" style="8" bestFit="1" customWidth="1"/>
    <col min="26" max="26" width="12.77734375" style="8" bestFit="1" customWidth="1"/>
    <col min="27" max="27" width="30.44140625" style="8" bestFit="1" customWidth="1"/>
    <col min="28" max="28" width="24.88671875" style="8" bestFit="1" customWidth="1"/>
    <col min="29" max="29" width="20.44140625" style="8" bestFit="1" customWidth="1"/>
    <col min="30" max="30" width="16.109375" style="8" bestFit="1" customWidth="1"/>
    <col min="31" max="31" width="21.5546875" style="8"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6" ht="28.05" customHeight="1" thickBot="1" x14ac:dyDescent="0.35">
      <c r="A1" s="39" t="s">
        <v>57</v>
      </c>
      <c r="B1" s="40"/>
      <c r="C1" s="41"/>
      <c r="D1" s="41"/>
      <c r="E1" s="41"/>
      <c r="F1" s="41"/>
    </row>
    <row r="2" spans="1:6" ht="15" thickBot="1" x14ac:dyDescent="0.35">
      <c r="A2" s="17" t="s">
        <v>70</v>
      </c>
      <c r="B2" s="19" t="s">
        <v>71</v>
      </c>
      <c r="C2" s="8"/>
      <c r="D2" s="42"/>
      <c r="E2" s="43"/>
      <c r="F2" s="43"/>
    </row>
    <row r="3" spans="1:6" ht="15" thickBot="1" x14ac:dyDescent="0.35">
      <c r="A3" s="16" t="s">
        <v>47</v>
      </c>
      <c r="B3" s="18" t="s">
        <v>48</v>
      </c>
      <c r="D3" s="15"/>
      <c r="E3"/>
    </row>
    <row r="4" spans="1:6" ht="14.4" customHeight="1" thickBot="1" x14ac:dyDescent="0.35">
      <c r="A4" s="17" t="s">
        <v>46</v>
      </c>
      <c r="B4" s="21" t="s">
        <v>49</v>
      </c>
      <c r="C4" s="8"/>
      <c r="D4" s="42"/>
      <c r="E4" s="43"/>
      <c r="F4" s="43"/>
    </row>
    <row r="5" spans="1:6" ht="14.4" customHeight="1" thickBot="1" x14ac:dyDescent="0.35">
      <c r="A5" s="17" t="s">
        <v>50</v>
      </c>
      <c r="B5" s="20">
        <v>46083.684884259259</v>
      </c>
      <c r="C5" s="8"/>
      <c r="D5" s="15"/>
      <c r="E5"/>
    </row>
    <row r="6" spans="1:6" ht="15" thickBot="1" x14ac:dyDescent="0.35">
      <c r="A6" s="8"/>
      <c r="B6" s="8"/>
      <c r="C6" s="8"/>
      <c r="D6" s="13"/>
      <c r="E6" s="13"/>
      <c r="F6" s="8"/>
    </row>
    <row r="7" spans="1:6" ht="21" customHeight="1" thickBot="1" x14ac:dyDescent="0.35">
      <c r="A7" s="44" t="s">
        <v>69</v>
      </c>
      <c r="B7" s="43"/>
      <c r="C7" s="43"/>
      <c r="D7" s="48" t="str">
        <f>'Logic and Calculation'!B5</f>
        <v xml:space="preserve">Compliant </v>
      </c>
      <c r="E7" s="49"/>
      <c r="F7" s="49"/>
    </row>
    <row r="8" spans="1:6" ht="18" customHeight="1" x14ac:dyDescent="0.3">
      <c r="A8" s="44" t="s">
        <v>0</v>
      </c>
      <c r="B8" s="43"/>
      <c r="C8" s="43"/>
      <c r="D8" s="46"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47"/>
      <c r="F8" s="47"/>
    </row>
    <row r="9" spans="1:6" s="8" customFormat="1" ht="18" customHeight="1" x14ac:dyDescent="0.3">
      <c r="A9" s="24"/>
      <c r="D9" s="25"/>
    </row>
    <row r="10" spans="1:6" s="8" customFormat="1" ht="18" customHeight="1" thickBot="1" x14ac:dyDescent="0.35">
      <c r="A10" s="24"/>
      <c r="D10" s="25"/>
    </row>
    <row r="11" spans="1:6" s="8" customFormat="1" ht="18" customHeight="1" x14ac:dyDescent="0.3">
      <c r="A11" s="57" t="s">
        <v>182</v>
      </c>
      <c r="B11" s="58"/>
      <c r="C11" s="51"/>
      <c r="D11" s="52"/>
      <c r="E11" s="52"/>
      <c r="F11" s="53"/>
    </row>
    <row r="12" spans="1:6" s="8" customFormat="1" ht="18" customHeight="1" thickBot="1" x14ac:dyDescent="0.35">
      <c r="A12" s="59"/>
      <c r="B12" s="60"/>
      <c r="C12" s="54"/>
      <c r="D12" s="55"/>
      <c r="E12" s="55"/>
      <c r="F12" s="56"/>
    </row>
    <row r="13" spans="1:6" s="8" customFormat="1" ht="18" customHeight="1" x14ac:dyDescent="0.3">
      <c r="A13" s="57" t="s">
        <v>184</v>
      </c>
      <c r="B13" s="58"/>
      <c r="C13" s="51"/>
      <c r="D13" s="52"/>
      <c r="E13" s="52"/>
      <c r="F13" s="53"/>
    </row>
    <row r="14" spans="1:6" s="8" customFormat="1" ht="18" customHeight="1" x14ac:dyDescent="0.3">
      <c r="A14" s="61"/>
      <c r="B14" s="62"/>
      <c r="C14" s="63"/>
      <c r="D14" s="64"/>
      <c r="E14" s="64"/>
      <c r="F14" s="65"/>
    </row>
    <row r="15" spans="1:6" s="8" customFormat="1" ht="18" customHeight="1" thickBot="1" x14ac:dyDescent="0.35">
      <c r="A15" s="59"/>
      <c r="B15" s="60"/>
      <c r="C15" s="54"/>
      <c r="D15" s="55"/>
      <c r="E15" s="55"/>
      <c r="F15" s="56"/>
    </row>
    <row r="16" spans="1:6" s="8" customFormat="1" ht="18" customHeight="1" thickBot="1" x14ac:dyDescent="0.35">
      <c r="A16" s="66" t="s">
        <v>183</v>
      </c>
      <c r="B16" s="67"/>
      <c r="C16" s="19"/>
      <c r="D16" s="25"/>
    </row>
    <row r="17" spans="1:7" s="8" customFormat="1" ht="18" customHeight="1" thickBot="1" x14ac:dyDescent="0.35">
      <c r="A17" s="24"/>
      <c r="D17" s="25"/>
    </row>
    <row r="18" spans="1:7" s="8" customFormat="1" ht="18" customHeight="1" thickBot="1" x14ac:dyDescent="0.35">
      <c r="A18" s="16" t="s">
        <v>185</v>
      </c>
      <c r="B18" s="18"/>
      <c r="D18" s="25"/>
    </row>
    <row r="19" spans="1:7" s="8" customFormat="1" ht="18" customHeight="1" thickBot="1" x14ac:dyDescent="0.35">
      <c r="A19" s="16" t="s">
        <v>186</v>
      </c>
      <c r="B19" s="19"/>
      <c r="D19" s="25"/>
    </row>
    <row r="20" spans="1:7" s="8" customFormat="1" ht="18" customHeight="1" x14ac:dyDescent="0.3">
      <c r="A20" s="24"/>
      <c r="D20" s="25"/>
    </row>
    <row r="21" spans="1:7" s="8" customFormat="1" ht="18" customHeight="1" thickBot="1" x14ac:dyDescent="0.35">
      <c r="A21" s="24"/>
      <c r="D21" s="25"/>
    </row>
    <row r="22" spans="1:7" ht="18" customHeight="1" thickBot="1" x14ac:dyDescent="0.35">
      <c r="A22" s="16" t="s">
        <v>53</v>
      </c>
      <c r="B22" s="18"/>
      <c r="C22" s="8"/>
      <c r="D22" s="50"/>
      <c r="E22" s="50"/>
      <c r="F22" s="50"/>
    </row>
    <row r="23" spans="1:7" ht="18" customHeight="1" thickBot="1" x14ac:dyDescent="0.35">
      <c r="A23" s="16" t="s">
        <v>54</v>
      </c>
      <c r="B23" s="19"/>
      <c r="C23" s="8"/>
      <c r="D23" s="23" t="s">
        <v>56</v>
      </c>
      <c r="E23" s="22"/>
      <c r="F23" s="8"/>
    </row>
    <row r="24" spans="1:7" ht="18" customHeight="1" thickBot="1" x14ac:dyDescent="0.35">
      <c r="A24" s="16" t="s">
        <v>55</v>
      </c>
      <c r="B24" s="20"/>
      <c r="C24" s="8"/>
      <c r="D24" s="13"/>
      <c r="E24" s="13"/>
      <c r="F24" s="8"/>
    </row>
    <row r="25" spans="1:7" ht="18" customHeight="1" x14ac:dyDescent="0.3">
      <c r="A25" s="8"/>
      <c r="B25" s="8"/>
      <c r="C25" s="8"/>
      <c r="D25" s="13"/>
      <c r="E25" s="13"/>
      <c r="F25" s="8"/>
    </row>
    <row r="26" spans="1:7" x14ac:dyDescent="0.3">
      <c r="A26" s="45" t="s">
        <v>1</v>
      </c>
      <c r="B26" s="43"/>
      <c r="C26" s="43"/>
      <c r="D26" s="43"/>
      <c r="E26" s="43"/>
      <c r="F26" s="43"/>
    </row>
    <row r="27" spans="1:7" ht="19.95" customHeight="1" x14ac:dyDescent="0.3">
      <c r="A27" s="1" t="s">
        <v>2</v>
      </c>
      <c r="B27" s="1" t="s">
        <v>3</v>
      </c>
      <c r="C27" s="1" t="s">
        <v>4</v>
      </c>
      <c r="D27" s="1" t="s">
        <v>5</v>
      </c>
      <c r="E27" s="1" t="s">
        <v>6</v>
      </c>
      <c r="F27" s="1" t="s">
        <v>7</v>
      </c>
      <c r="G27" s="6"/>
    </row>
    <row r="28" spans="1:7" ht="44.4" customHeight="1" x14ac:dyDescent="0.3">
      <c r="A28" s="9" t="str" cm="1">
        <f t="array" ref="A28">_xlfn.LET(
  _xlpm.id, 'Account Mastery_Reference'!B2:B15,
  _xlpm.name, 'Account Mastery_Reference'!C2:C15,
  _xlpm.st, 'Account Mastery_Reference'!D2:D15,
  _xlpm.saw, 'Account Mastery_Reference'!H2:H15,
  _xlpm.matter, 'Account Mastery_Reference'!I2:I15,
  _xlpm.impact, 'Account Mastery_Reference'!K2:K15,
  _xlpm.data, _xlfn.HSTACK(_xlpm.id, _xlpm.name, _xlpm.st, _xlpm.saw, _xlpm.matter, _xlpm.impact),
  _xlfn._xlws.FILTER(_xlpm.data, _xlpm.st&lt;&gt;"OK", "No findings — all controls OK")
)</f>
        <v>No findings — all controls OK</v>
      </c>
      <c r="B28" s="9"/>
      <c r="C28" s="10"/>
      <c r="D28" s="11"/>
      <c r="E28" s="11"/>
      <c r="F28" s="9"/>
    </row>
    <row r="29" spans="1:7" ht="44.4" customHeight="1" x14ac:dyDescent="0.3">
      <c r="A29" s="9"/>
      <c r="B29" s="9"/>
      <c r="C29" s="7"/>
      <c r="D29" s="11"/>
      <c r="E29" s="11"/>
      <c r="F29" s="9"/>
    </row>
    <row r="30" spans="1:7" ht="44.4" customHeight="1" x14ac:dyDescent="0.3">
      <c r="A30" s="9"/>
      <c r="B30" s="9"/>
      <c r="C30" s="7"/>
      <c r="D30" s="11"/>
      <c r="E30" s="11"/>
      <c r="F30" s="9"/>
    </row>
    <row r="31" spans="1:7" ht="44.4" customHeight="1" x14ac:dyDescent="0.3">
      <c r="A31" s="9"/>
      <c r="B31" s="9"/>
      <c r="C31" s="7"/>
      <c r="D31" s="11"/>
      <c r="E31" s="11"/>
      <c r="F31" s="9"/>
    </row>
    <row r="32" spans="1:7" ht="44.4" customHeight="1" x14ac:dyDescent="0.3">
      <c r="A32" s="9"/>
      <c r="B32" s="9"/>
      <c r="C32" s="7"/>
      <c r="D32" s="11"/>
      <c r="E32" s="11"/>
      <c r="F32" s="9"/>
    </row>
    <row r="33" spans="1:6" ht="44.4" customHeight="1" x14ac:dyDescent="0.3">
      <c r="A33" s="9"/>
      <c r="B33" s="9"/>
      <c r="C33" s="7"/>
      <c r="D33" s="11"/>
      <c r="E33" s="11"/>
      <c r="F33" s="9"/>
    </row>
    <row r="34" spans="1:6" ht="44.4" customHeight="1" x14ac:dyDescent="0.3">
      <c r="A34" s="9"/>
      <c r="B34" s="9"/>
      <c r="C34" s="7"/>
      <c r="D34" s="11"/>
      <c r="E34" s="11"/>
      <c r="F34" s="9"/>
    </row>
    <row r="35" spans="1:6" ht="44.4" customHeight="1" x14ac:dyDescent="0.3">
      <c r="A35" s="9"/>
      <c r="B35" s="9"/>
      <c r="C35" s="7"/>
      <c r="D35" s="11"/>
      <c r="E35" s="11"/>
      <c r="F35" s="9"/>
    </row>
    <row r="36" spans="1:6" ht="44.4" customHeight="1" x14ac:dyDescent="0.3">
      <c r="A36" s="9"/>
      <c r="B36" s="9"/>
      <c r="C36" s="7"/>
      <c r="D36" s="11"/>
      <c r="E36" s="11"/>
      <c r="F36" s="9"/>
    </row>
    <row r="37" spans="1:6" ht="44.4" customHeight="1" x14ac:dyDescent="0.3">
      <c r="A37" s="9"/>
      <c r="B37" s="9"/>
      <c r="C37" s="7"/>
      <c r="D37" s="11"/>
      <c r="E37" s="11"/>
      <c r="F37" s="9"/>
    </row>
    <row r="38" spans="1:6" ht="44.4" customHeight="1" x14ac:dyDescent="0.3">
      <c r="A38" s="9"/>
      <c r="B38" s="9"/>
      <c r="C38" s="7"/>
      <c r="D38" s="11"/>
      <c r="E38" s="11"/>
      <c r="F38" s="9"/>
    </row>
    <row r="39" spans="1:6" ht="44.4" customHeight="1" x14ac:dyDescent="0.3">
      <c r="A39" s="9"/>
      <c r="B39" s="9"/>
      <c r="C39" s="7"/>
      <c r="D39" s="11"/>
      <c r="E39" s="11"/>
      <c r="F39" s="9"/>
    </row>
    <row r="40" spans="1:6" ht="44.4" customHeight="1" x14ac:dyDescent="0.3">
      <c r="A40" s="9"/>
      <c r="B40" s="9"/>
      <c r="C40" s="7"/>
      <c r="D40" s="11"/>
      <c r="E40" s="11"/>
      <c r="F40" s="9"/>
    </row>
    <row r="41" spans="1:6" ht="44.4" customHeight="1" x14ac:dyDescent="0.3">
      <c r="A41" s="9"/>
      <c r="B41" s="9"/>
      <c r="C41" s="7"/>
      <c r="D41" s="11"/>
      <c r="E41" s="11"/>
      <c r="F41" s="9"/>
    </row>
    <row r="42" spans="1:6" ht="44.4" customHeight="1" x14ac:dyDescent="0.3">
      <c r="A42" s="8"/>
      <c r="B42" s="8"/>
      <c r="C42" s="7"/>
      <c r="D42" s="13"/>
      <c r="E42" s="13"/>
      <c r="F42" s="8"/>
    </row>
    <row r="43" spans="1:6" ht="44.4" customHeight="1" x14ac:dyDescent="0.3">
      <c r="A43" s="8"/>
      <c r="B43" s="8"/>
      <c r="C43" s="7"/>
      <c r="D43" s="13"/>
      <c r="E43" s="13"/>
      <c r="F43" s="8"/>
    </row>
    <row r="44" spans="1:6" ht="44.4" customHeight="1" x14ac:dyDescent="0.3">
      <c r="A44" s="8"/>
      <c r="B44" s="8"/>
      <c r="C44" s="7"/>
      <c r="D44" s="13"/>
      <c r="E44" s="13"/>
      <c r="F44" s="8"/>
    </row>
    <row r="45" spans="1:6" ht="44.4" customHeight="1" x14ac:dyDescent="0.3">
      <c r="A45" s="8"/>
      <c r="B45" s="8"/>
      <c r="C45" s="7"/>
      <c r="D45" s="13"/>
      <c r="E45" s="13"/>
      <c r="F45" s="8"/>
    </row>
    <row r="46" spans="1:6" ht="44.4" customHeight="1" x14ac:dyDescent="0.3">
      <c r="A46" s="8"/>
      <c r="B46" s="8"/>
      <c r="C46" s="7"/>
      <c r="D46" s="13"/>
      <c r="E46" s="13"/>
      <c r="F46" s="8"/>
    </row>
    <row r="47" spans="1:6" ht="44.4" customHeight="1" x14ac:dyDescent="0.3">
      <c r="C47" s="7"/>
    </row>
    <row r="48" spans="1:6" ht="44.4" customHeight="1" x14ac:dyDescent="0.3">
      <c r="C48" s="7"/>
    </row>
    <row r="49" spans="3:3" ht="44.4" customHeight="1" x14ac:dyDescent="0.3">
      <c r="C49" s="7"/>
    </row>
    <row r="50" spans="3:3" ht="44.4" customHeight="1" x14ac:dyDescent="0.3">
      <c r="C50" s="7"/>
    </row>
    <row r="51" spans="3:3" ht="44.4" customHeight="1" x14ac:dyDescent="0.3">
      <c r="C51" s="7"/>
    </row>
  </sheetData>
  <mergeCells count="14">
    <mergeCell ref="A1:F1"/>
    <mergeCell ref="D4:F4"/>
    <mergeCell ref="A7:C7"/>
    <mergeCell ref="A26:F26"/>
    <mergeCell ref="D8:F8"/>
    <mergeCell ref="A8:C8"/>
    <mergeCell ref="D2:F2"/>
    <mergeCell ref="D7:F7"/>
    <mergeCell ref="D22:F22"/>
    <mergeCell ref="C11:F12"/>
    <mergeCell ref="A11:B12"/>
    <mergeCell ref="A13:B15"/>
    <mergeCell ref="C13:F15"/>
    <mergeCell ref="A16:B16"/>
  </mergeCells>
  <conditionalFormatting sqref="C28:C51">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F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15"/>
  <sheetViews>
    <sheetView tabSelected="1" zoomScale="70" zoomScaleNormal="70" workbookViewId="0">
      <pane ySplit="1" topLeftCell="A2" activePane="bottomLeft" state="frozen"/>
      <selection pane="bottomLeft" activeCell="H24" sqref="H24"/>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7" customWidth="1"/>
    <col min="6" max="6" width="48.5546875" style="26" customWidth="1"/>
    <col min="7" max="7" width="74.88671875" style="26" customWidth="1"/>
    <col min="8" max="8" width="76.44140625" style="26" customWidth="1"/>
    <col min="9" max="9" width="59.88671875" style="26" customWidth="1"/>
    <col min="10" max="10" width="48" style="5" customWidth="1"/>
    <col min="11" max="11" width="10" customWidth="1"/>
    <col min="12" max="12" width="11.6640625" customWidth="1"/>
    <col min="13" max="13" width="22" customWidth="1"/>
    <col min="14" max="14" width="54.33203125" style="14" customWidth="1"/>
  </cols>
  <sheetData>
    <row r="1" spans="1:14" ht="28.2" customHeight="1" x14ac:dyDescent="0.3">
      <c r="A1" s="30" t="s">
        <v>8</v>
      </c>
      <c r="B1" s="31" t="s">
        <v>2</v>
      </c>
      <c r="C1" s="31" t="s">
        <v>3</v>
      </c>
      <c r="D1" s="31" t="s">
        <v>9</v>
      </c>
      <c r="E1" s="32" t="s">
        <v>10</v>
      </c>
      <c r="F1" s="31" t="s">
        <v>11</v>
      </c>
      <c r="G1" s="31" t="s">
        <v>12</v>
      </c>
      <c r="H1" s="31" t="s">
        <v>5</v>
      </c>
      <c r="I1" s="31" t="s">
        <v>6</v>
      </c>
      <c r="J1" s="31" t="s">
        <v>13</v>
      </c>
      <c r="K1" s="31" t="s">
        <v>7</v>
      </c>
      <c r="L1" s="31" t="s">
        <v>14</v>
      </c>
      <c r="M1" s="31" t="s">
        <v>15</v>
      </c>
      <c r="N1" s="33" t="s">
        <v>16</v>
      </c>
    </row>
    <row r="2" spans="1:14" ht="55.2" customHeight="1" x14ac:dyDescent="0.3">
      <c r="A2" s="34" t="s">
        <v>60</v>
      </c>
      <c r="B2" s="3" t="s">
        <v>17</v>
      </c>
      <c r="C2" s="35" t="s">
        <v>64</v>
      </c>
      <c r="D2" s="3" t="s">
        <v>18</v>
      </c>
      <c r="E2" s="35" t="s">
        <v>78</v>
      </c>
      <c r="F2" s="35" t="s">
        <v>79</v>
      </c>
      <c r="G2" s="35" t="s">
        <v>80</v>
      </c>
      <c r="H2" s="35" t="s">
        <v>81</v>
      </c>
      <c r="I2" s="35" t="s">
        <v>82</v>
      </c>
      <c r="J2" s="35" t="s">
        <v>83</v>
      </c>
      <c r="K2" s="3" t="str">
        <f>VLOOKUP(Table1[[#This Row],[Importance]],'Logic and Calculation'!$H$3:$J$12,3,FALSE)</f>
        <v>Critical</v>
      </c>
      <c r="L2" s="36">
        <v>10</v>
      </c>
      <c r="M2" s="3">
        <f>VLOOKUP(Table1[[#This Row],[Importance]],'Logic and Calculation'!$H$3:$J$12,2,FALSE)</f>
        <v>-18</v>
      </c>
      <c r="N2" s="37" t="s">
        <v>168</v>
      </c>
    </row>
    <row r="3" spans="1:14" ht="55.2" customHeight="1" x14ac:dyDescent="0.3">
      <c r="A3" s="34" t="s">
        <v>60</v>
      </c>
      <c r="B3" s="3" t="s">
        <v>20</v>
      </c>
      <c r="C3" s="35" t="s">
        <v>59</v>
      </c>
      <c r="D3" s="3" t="s">
        <v>18</v>
      </c>
      <c r="E3" s="35" t="s">
        <v>84</v>
      </c>
      <c r="F3" s="35" t="s">
        <v>85</v>
      </c>
      <c r="G3" s="35" t="s">
        <v>86</v>
      </c>
      <c r="H3" s="35" t="s">
        <v>87</v>
      </c>
      <c r="I3" s="35" t="s">
        <v>88</v>
      </c>
      <c r="J3" s="35" t="s">
        <v>89</v>
      </c>
      <c r="K3" s="3" t="str">
        <f>VLOOKUP(Table1[[#This Row],[Importance]],'Logic and Calculation'!$H$3:$J$12,3,FALSE)</f>
        <v>High</v>
      </c>
      <c r="L3" s="36">
        <v>8</v>
      </c>
      <c r="M3" s="3">
        <f>VLOOKUP(Table1[[#This Row],[Importance]],'Logic and Calculation'!$H$3:$J$12,2,FALSE)</f>
        <v>-13</v>
      </c>
      <c r="N3" s="37" t="s">
        <v>169</v>
      </c>
    </row>
    <row r="4" spans="1:14" ht="55.2" customHeight="1" x14ac:dyDescent="0.3">
      <c r="A4" s="34" t="s">
        <v>61</v>
      </c>
      <c r="B4" s="3" t="s">
        <v>21</v>
      </c>
      <c r="C4" s="35" t="s">
        <v>58</v>
      </c>
      <c r="D4" s="3" t="s">
        <v>18</v>
      </c>
      <c r="E4" s="35" t="s">
        <v>90</v>
      </c>
      <c r="F4" s="35" t="s">
        <v>91</v>
      </c>
      <c r="G4" s="35" t="s">
        <v>92</v>
      </c>
      <c r="H4" s="35" t="s">
        <v>93</v>
      </c>
      <c r="I4" s="35" t="s">
        <v>94</v>
      </c>
      <c r="J4" s="35" t="s">
        <v>95</v>
      </c>
      <c r="K4" s="3" t="str">
        <f>VLOOKUP(Table1[[#This Row],[Importance]],'Logic and Calculation'!$H$3:$J$12,3,FALSE)</f>
        <v>High</v>
      </c>
      <c r="L4" s="36">
        <v>9</v>
      </c>
      <c r="M4" s="3">
        <f>VLOOKUP(Table1[[#This Row],[Importance]],'Logic and Calculation'!$H$3:$J$12,2,FALSE)</f>
        <v>-15</v>
      </c>
      <c r="N4" s="37" t="s">
        <v>170</v>
      </c>
    </row>
    <row r="5" spans="1:14" ht="55.2" customHeight="1" x14ac:dyDescent="0.3">
      <c r="A5" s="34" t="s">
        <v>61</v>
      </c>
      <c r="B5" s="3" t="s">
        <v>22</v>
      </c>
      <c r="C5" s="35" t="s">
        <v>65</v>
      </c>
      <c r="D5" s="3" t="s">
        <v>18</v>
      </c>
      <c r="E5" s="35" t="s">
        <v>96</v>
      </c>
      <c r="F5" s="35" t="s">
        <v>97</v>
      </c>
      <c r="G5" s="35" t="s">
        <v>98</v>
      </c>
      <c r="H5" s="35" t="s">
        <v>99</v>
      </c>
      <c r="I5" s="35" t="s">
        <v>100</v>
      </c>
      <c r="J5" s="35" t="s">
        <v>101</v>
      </c>
      <c r="K5" s="3" t="str">
        <f>VLOOKUP(Table1[[#This Row],[Importance]],'Logic and Calculation'!$H$3:$J$12,3,FALSE)</f>
        <v>Medium</v>
      </c>
      <c r="L5" s="36">
        <v>6</v>
      </c>
      <c r="M5" s="3">
        <f>VLOOKUP(Table1[[#This Row],[Importance]],'Logic and Calculation'!$H$3:$J$12,2,FALSE)</f>
        <v>-9</v>
      </c>
      <c r="N5" s="37" t="s">
        <v>171</v>
      </c>
    </row>
    <row r="6" spans="1:14" ht="55.2" customHeight="1" x14ac:dyDescent="0.3">
      <c r="A6" s="34" t="s">
        <v>61</v>
      </c>
      <c r="B6" s="3" t="s">
        <v>23</v>
      </c>
      <c r="C6" s="35" t="s">
        <v>66</v>
      </c>
      <c r="D6" s="3" t="s">
        <v>18</v>
      </c>
      <c r="E6" s="35" t="s">
        <v>102</v>
      </c>
      <c r="F6" s="35" t="s">
        <v>103</v>
      </c>
      <c r="G6" s="35" t="s">
        <v>104</v>
      </c>
      <c r="H6" s="35" t="s">
        <v>105</v>
      </c>
      <c r="I6" s="35" t="s">
        <v>68</v>
      </c>
      <c r="J6" s="35" t="s">
        <v>106</v>
      </c>
      <c r="K6" s="3" t="str">
        <f>VLOOKUP(Table1[[#This Row],[Importance]],'Logic and Calculation'!$H$3:$J$12,3,FALSE)</f>
        <v>High</v>
      </c>
      <c r="L6" s="36">
        <v>8</v>
      </c>
      <c r="M6" s="3">
        <f>VLOOKUP(Table1[[#This Row],[Importance]],'Logic and Calculation'!$H$3:$J$12,2,FALSE)</f>
        <v>-13</v>
      </c>
      <c r="N6" s="37" t="s">
        <v>172</v>
      </c>
    </row>
    <row r="7" spans="1:14" ht="55.2" customHeight="1" x14ac:dyDescent="0.3">
      <c r="A7" s="34" t="s">
        <v>62</v>
      </c>
      <c r="B7" s="3" t="s">
        <v>24</v>
      </c>
      <c r="C7" s="35" t="s">
        <v>187</v>
      </c>
      <c r="D7" s="3" t="s">
        <v>18</v>
      </c>
      <c r="E7" s="35" t="s">
        <v>107</v>
      </c>
      <c r="F7" s="35" t="s">
        <v>108</v>
      </c>
      <c r="G7" s="35" t="s">
        <v>109</v>
      </c>
      <c r="H7" s="35" t="s">
        <v>110</v>
      </c>
      <c r="I7" s="35" t="s">
        <v>111</v>
      </c>
      <c r="J7" s="35" t="s">
        <v>112</v>
      </c>
      <c r="K7" s="3" t="str">
        <f>VLOOKUP(Table1[[#This Row],[Importance]],'Logic and Calculation'!$H$3:$J$12,3,FALSE)</f>
        <v>High</v>
      </c>
      <c r="L7" s="36">
        <v>8</v>
      </c>
      <c r="M7" s="3">
        <f>VLOOKUP(Table1[[#This Row],[Importance]],'Logic and Calculation'!$H$3:$J$12,2,FALSE)</f>
        <v>-13</v>
      </c>
      <c r="N7" s="37" t="s">
        <v>173</v>
      </c>
    </row>
    <row r="8" spans="1:14" ht="48" customHeight="1" x14ac:dyDescent="0.3">
      <c r="A8" s="34" t="s">
        <v>63</v>
      </c>
      <c r="B8" s="3" t="s">
        <v>25</v>
      </c>
      <c r="C8" s="35" t="s">
        <v>67</v>
      </c>
      <c r="D8" s="3" t="s">
        <v>18</v>
      </c>
      <c r="E8" s="35" t="s">
        <v>113</v>
      </c>
      <c r="F8" s="35" t="s">
        <v>114</v>
      </c>
      <c r="G8" s="35" t="s">
        <v>115</v>
      </c>
      <c r="H8" s="35" t="s">
        <v>116</v>
      </c>
      <c r="I8" s="35" t="s">
        <v>117</v>
      </c>
      <c r="J8" s="35" t="s">
        <v>118</v>
      </c>
      <c r="K8" s="3" t="str">
        <f>VLOOKUP(Table1[[#This Row],[Importance]],'Logic and Calculation'!$H$3:$J$12,3,FALSE)</f>
        <v>High</v>
      </c>
      <c r="L8" s="36">
        <v>9</v>
      </c>
      <c r="M8" s="3">
        <f>VLOOKUP(Table1[[#This Row],[Importance]],'Logic and Calculation'!$H$3:$J$12,2,FALSE)</f>
        <v>-15</v>
      </c>
      <c r="N8" s="37" t="s">
        <v>174</v>
      </c>
    </row>
    <row r="9" spans="1:14" ht="50.4" customHeight="1" x14ac:dyDescent="0.3">
      <c r="A9" s="38" t="s">
        <v>61</v>
      </c>
      <c r="B9" s="3" t="s">
        <v>26</v>
      </c>
      <c r="C9" s="29" t="s">
        <v>119</v>
      </c>
      <c r="D9" s="28" t="s">
        <v>18</v>
      </c>
      <c r="E9" s="29" t="s">
        <v>120</v>
      </c>
      <c r="F9" s="28" t="s">
        <v>121</v>
      </c>
      <c r="G9" s="28" t="s">
        <v>122</v>
      </c>
      <c r="H9" s="28" t="s">
        <v>123</v>
      </c>
      <c r="I9" s="28" t="s">
        <v>124</v>
      </c>
      <c r="J9" s="28" t="s">
        <v>125</v>
      </c>
      <c r="K9" s="3" t="str">
        <f>VLOOKUP(Table1[[#This Row],[Importance]],'Logic and Calculation'!$H$3:$J$12,3,FALSE)</f>
        <v>Medium</v>
      </c>
      <c r="L9" s="36">
        <v>6</v>
      </c>
      <c r="M9" s="3">
        <f>VLOOKUP(Table1[[#This Row],[Importance]],'Logic and Calculation'!$H$3:$J$12,2,FALSE)</f>
        <v>-9</v>
      </c>
      <c r="N9" s="37" t="s">
        <v>175</v>
      </c>
    </row>
    <row r="10" spans="1:14" ht="36" x14ac:dyDescent="0.3">
      <c r="A10" s="34" t="s">
        <v>63</v>
      </c>
      <c r="B10" s="3" t="s">
        <v>27</v>
      </c>
      <c r="C10" s="35" t="s">
        <v>126</v>
      </c>
      <c r="D10" s="28" t="s">
        <v>18</v>
      </c>
      <c r="E10" s="29" t="s">
        <v>127</v>
      </c>
      <c r="F10" s="28" t="s">
        <v>128</v>
      </c>
      <c r="G10" s="28" t="s">
        <v>129</v>
      </c>
      <c r="H10" s="28" t="s">
        <v>130</v>
      </c>
      <c r="I10" s="28" t="s">
        <v>131</v>
      </c>
      <c r="J10" s="28" t="s">
        <v>132</v>
      </c>
      <c r="K10" s="3" t="str">
        <f>VLOOKUP(Table1[[#This Row],[Importance]],'Logic and Calculation'!$H$3:$J$12,3,FALSE)</f>
        <v>Medium</v>
      </c>
      <c r="L10" s="36">
        <v>5</v>
      </c>
      <c r="M10" s="3">
        <f>VLOOKUP(Table1[[#This Row],[Importance]],'Logic and Calculation'!$H$3:$J$12,2,FALSE)</f>
        <v>-7</v>
      </c>
      <c r="N10" s="37" t="s">
        <v>176</v>
      </c>
    </row>
    <row r="11" spans="1:14" ht="36" x14ac:dyDescent="0.3">
      <c r="A11" s="38" t="s">
        <v>61</v>
      </c>
      <c r="B11" s="3" t="s">
        <v>28</v>
      </c>
      <c r="C11" s="29" t="s">
        <v>133</v>
      </c>
      <c r="D11" s="28" t="s">
        <v>18</v>
      </c>
      <c r="E11" s="29" t="s">
        <v>134</v>
      </c>
      <c r="F11" s="28" t="s">
        <v>135</v>
      </c>
      <c r="G11" s="28" t="s">
        <v>136</v>
      </c>
      <c r="H11" s="28" t="s">
        <v>137</v>
      </c>
      <c r="I11" s="28" t="s">
        <v>138</v>
      </c>
      <c r="J11" s="28" t="s">
        <v>139</v>
      </c>
      <c r="K11" s="3" t="str">
        <f>VLOOKUP(Table1[[#This Row],[Importance]],'Logic and Calculation'!$H$3:$J$12,3,FALSE)</f>
        <v>High</v>
      </c>
      <c r="L11" s="36">
        <v>9</v>
      </c>
      <c r="M11" s="3">
        <f>VLOOKUP(Table1[[#This Row],[Importance]],'Logic and Calculation'!$H$3:$J$12,2,FALSE)</f>
        <v>-15</v>
      </c>
      <c r="N11" s="37" t="s">
        <v>177</v>
      </c>
    </row>
    <row r="12" spans="1:14" ht="36" x14ac:dyDescent="0.3">
      <c r="A12" s="38" t="s">
        <v>60</v>
      </c>
      <c r="B12" s="3" t="s">
        <v>29</v>
      </c>
      <c r="C12" s="29" t="s">
        <v>140</v>
      </c>
      <c r="D12" s="28" t="s">
        <v>18</v>
      </c>
      <c r="E12" s="29" t="s">
        <v>141</v>
      </c>
      <c r="F12" s="28" t="s">
        <v>142</v>
      </c>
      <c r="G12" s="28" t="s">
        <v>143</v>
      </c>
      <c r="H12" s="28" t="s">
        <v>144</v>
      </c>
      <c r="I12" s="28" t="s">
        <v>145</v>
      </c>
      <c r="J12" s="28" t="s">
        <v>146</v>
      </c>
      <c r="K12" s="3" t="str">
        <f>VLOOKUP(Table1[[#This Row],[Importance]],'Logic and Calculation'!$H$3:$J$12,3,FALSE)</f>
        <v>Critical</v>
      </c>
      <c r="L12" s="36">
        <v>10</v>
      </c>
      <c r="M12" s="3">
        <f>VLOOKUP(Table1[[#This Row],[Importance]],'Logic and Calculation'!$H$3:$J$12,2,FALSE)</f>
        <v>-18</v>
      </c>
      <c r="N12" s="37" t="s">
        <v>178</v>
      </c>
    </row>
    <row r="13" spans="1:14" ht="36" x14ac:dyDescent="0.3">
      <c r="A13" s="38" t="s">
        <v>62</v>
      </c>
      <c r="B13" s="3" t="s">
        <v>30</v>
      </c>
      <c r="C13" s="29" t="s">
        <v>147</v>
      </c>
      <c r="D13" s="28" t="s">
        <v>18</v>
      </c>
      <c r="E13" s="29" t="s">
        <v>148</v>
      </c>
      <c r="F13" s="28" t="s">
        <v>149</v>
      </c>
      <c r="G13" s="28" t="s">
        <v>150</v>
      </c>
      <c r="H13" s="28" t="s">
        <v>151</v>
      </c>
      <c r="I13" s="28" t="s">
        <v>152</v>
      </c>
      <c r="J13" s="28" t="s">
        <v>153</v>
      </c>
      <c r="K13" s="3" t="str">
        <f>VLOOKUP(Table1[[#This Row],[Importance]],'Logic and Calculation'!$H$3:$J$12,3,FALSE)</f>
        <v>Medium</v>
      </c>
      <c r="L13" s="36">
        <v>6</v>
      </c>
      <c r="M13" s="3">
        <f>VLOOKUP(Table1[[#This Row],[Importance]],'Logic and Calculation'!$H$3:$J$12,2,FALSE)</f>
        <v>-9</v>
      </c>
      <c r="N13" s="37" t="s">
        <v>179</v>
      </c>
    </row>
    <row r="14" spans="1:14" ht="28.8" x14ac:dyDescent="0.3">
      <c r="A14" s="38" t="s">
        <v>154</v>
      </c>
      <c r="B14" s="3" t="s">
        <v>31</v>
      </c>
      <c r="C14" s="29" t="s">
        <v>155</v>
      </c>
      <c r="D14" s="28" t="s">
        <v>18</v>
      </c>
      <c r="E14" s="29" t="s">
        <v>156</v>
      </c>
      <c r="F14" s="28" t="s">
        <v>157</v>
      </c>
      <c r="G14" s="28" t="s">
        <v>158</v>
      </c>
      <c r="H14" s="28" t="s">
        <v>159</v>
      </c>
      <c r="I14" s="28" t="s">
        <v>160</v>
      </c>
      <c r="J14" s="28" t="s">
        <v>161</v>
      </c>
      <c r="K14" s="3" t="str">
        <f>VLOOKUP(Table1[[#This Row],[Importance]],'Logic and Calculation'!$H$3:$J$12,3,FALSE)</f>
        <v>Medium</v>
      </c>
      <c r="L14" s="36">
        <v>7</v>
      </c>
      <c r="M14" s="3">
        <f>VLOOKUP(Table1[[#This Row],[Importance]],'Logic and Calculation'!$H$3:$J$12,2,FALSE)</f>
        <v>-11</v>
      </c>
      <c r="N14" s="37" t="s">
        <v>180</v>
      </c>
    </row>
    <row r="15" spans="1:14" ht="28.8" x14ac:dyDescent="0.3">
      <c r="A15" s="38" t="s">
        <v>154</v>
      </c>
      <c r="B15" s="3" t="s">
        <v>77</v>
      </c>
      <c r="C15" s="29" t="s">
        <v>162</v>
      </c>
      <c r="D15" s="28" t="s">
        <v>18</v>
      </c>
      <c r="E15" s="29" t="s">
        <v>163</v>
      </c>
      <c r="F15" s="28" t="s">
        <v>164</v>
      </c>
      <c r="G15" s="28" t="s">
        <v>165</v>
      </c>
      <c r="H15" s="28" t="s">
        <v>166</v>
      </c>
      <c r="I15" s="28" t="s">
        <v>167</v>
      </c>
      <c r="J15" s="28" t="s">
        <v>161</v>
      </c>
      <c r="K15" s="3" t="str">
        <f>VLOOKUP(Table1[[#This Row],[Importance]],'Logic and Calculation'!$H$3:$J$12,3,FALSE)</f>
        <v>High</v>
      </c>
      <c r="L15" s="36">
        <v>8</v>
      </c>
      <c r="M15" s="3">
        <f>VLOOKUP(Table1[[#This Row],[Importance]],'Logic and Calculation'!$H$3:$J$12,2,FALSE)</f>
        <v>-13</v>
      </c>
      <c r="N15" s="37" t="s">
        <v>181</v>
      </c>
    </row>
  </sheetData>
  <phoneticPr fontId="15" type="noConversion"/>
  <conditionalFormatting sqref="D2:D15">
    <cfRule type="cellIs" dxfId="2" priority="4" stopIfTrue="1" operator="equal">
      <formula>"OK"</formula>
    </cfRule>
    <cfRule type="cellIs" dxfId="1" priority="5" stopIfTrue="1" operator="equal">
      <formula>"PARTIAL"</formula>
    </cfRule>
    <cfRule type="cellIs" dxfId="0" priority="6" stopIfTrue="1" operator="equal">
      <formula>"FLAG"</formula>
    </cfRule>
  </conditionalFormatting>
  <dataValidations count="1">
    <dataValidation type="list" allowBlank="1" sqref="D2:D15"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1"/>
  <sheetViews>
    <sheetView workbookViewId="0">
      <pane ySplit="7" topLeftCell="A8" activePane="bottomLeft" state="frozen"/>
      <selection pane="bottomLeft" activeCell="M22" sqref="M22"/>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32</v>
      </c>
    </row>
    <row r="2" spans="1:13" x14ac:dyDescent="0.3">
      <c r="A2" t="s">
        <v>33</v>
      </c>
      <c r="B2">
        <v>100</v>
      </c>
      <c r="D2" t="s">
        <v>34</v>
      </c>
      <c r="H2" s="4" t="s">
        <v>14</v>
      </c>
      <c r="I2" s="4" t="s">
        <v>35</v>
      </c>
      <c r="J2" s="4" t="s">
        <v>36</v>
      </c>
      <c r="L2" s="12" t="s">
        <v>69</v>
      </c>
      <c r="M2" s="12" t="s">
        <v>37</v>
      </c>
    </row>
    <row r="3" spans="1:13" x14ac:dyDescent="0.3">
      <c r="A3" t="s">
        <v>38</v>
      </c>
      <c r="B3">
        <f>SUM(F8:F952)</f>
        <v>0</v>
      </c>
      <c r="D3" t="s">
        <v>75</v>
      </c>
      <c r="H3">
        <v>10</v>
      </c>
      <c r="I3">
        <v>-18</v>
      </c>
      <c r="J3" t="s">
        <v>39</v>
      </c>
      <c r="L3" t="s">
        <v>189</v>
      </c>
      <c r="M3" t="s">
        <v>72</v>
      </c>
    </row>
    <row r="4" spans="1:13" x14ac:dyDescent="0.3">
      <c r="A4" t="s">
        <v>40</v>
      </c>
      <c r="B4">
        <f>B2+B3</f>
        <v>100</v>
      </c>
      <c r="D4" t="s">
        <v>52</v>
      </c>
      <c r="H4">
        <v>9</v>
      </c>
      <c r="I4">
        <v>-15</v>
      </c>
      <c r="J4" t="s">
        <v>41</v>
      </c>
      <c r="L4" t="s">
        <v>51</v>
      </c>
      <c r="M4" t="s">
        <v>73</v>
      </c>
    </row>
    <row r="5" spans="1:13" x14ac:dyDescent="0.3">
      <c r="A5" t="s">
        <v>69</v>
      </c>
      <c r="B5" t="str">
        <f>IF(B4&gt;=75,"Compliant ",IF(AND(B4&lt;=74,B4&gt;=40),"Needs Attention","Not Compliant"))</f>
        <v xml:space="preserve">Compliant </v>
      </c>
      <c r="D5" t="s">
        <v>76</v>
      </c>
      <c r="H5">
        <v>8</v>
      </c>
      <c r="I5">
        <v>-13</v>
      </c>
      <c r="J5" t="s">
        <v>41</v>
      </c>
      <c r="L5" t="s">
        <v>74</v>
      </c>
      <c r="M5" t="s">
        <v>188</v>
      </c>
    </row>
    <row r="6" spans="1:13" x14ac:dyDescent="0.3">
      <c r="A6" t="s">
        <v>42</v>
      </c>
      <c r="B6" t="s">
        <v>43</v>
      </c>
      <c r="H6">
        <v>7</v>
      </c>
      <c r="I6">
        <v>-11</v>
      </c>
      <c r="J6" t="s">
        <v>19</v>
      </c>
    </row>
    <row r="7" spans="1:13" x14ac:dyDescent="0.3">
      <c r="H7">
        <v>6</v>
      </c>
      <c r="I7">
        <v>-9</v>
      </c>
      <c r="J7" t="s">
        <v>19</v>
      </c>
    </row>
    <row r="8" spans="1:13" x14ac:dyDescent="0.3">
      <c r="A8" t="str">
        <f>'Account Mastery_Reference'!B2</f>
        <v>C001</v>
      </c>
      <c r="B8" t="str">
        <f>'Account Mastery_Reference'!A2</f>
        <v>Client Objective &amp; Success Criteria</v>
      </c>
      <c r="C8" t="str">
        <f>'Account Mastery_Reference'!C2</f>
        <v>Objective Clearly Defined</v>
      </c>
      <c r="D8" t="str">
        <f>'Account Mastery_Reference'!D2</f>
        <v>OK</v>
      </c>
      <c r="E8">
        <f>'Account Mastery_Reference'!M2</f>
        <v>-18</v>
      </c>
      <c r="F8">
        <f t="shared" ref="F8" si="0">IF(D8="FLAG",E8,IF(D8="PARTIAL",E8*0.5,0))</f>
        <v>0</v>
      </c>
      <c r="H8">
        <v>5</v>
      </c>
      <c r="I8">
        <v>-7</v>
      </c>
      <c r="J8" t="s">
        <v>19</v>
      </c>
    </row>
    <row r="9" spans="1:13" x14ac:dyDescent="0.3">
      <c r="A9" t="str">
        <f>'Account Mastery_Reference'!B3</f>
        <v>C002</v>
      </c>
      <c r="B9" t="str">
        <f>'Account Mastery_Reference'!A3</f>
        <v>Client Objective &amp; Success Criteria</v>
      </c>
      <c r="C9" t="str">
        <f>'Account Mastery_Reference'!C3</f>
        <v>Objective vs Near-Term Alignment</v>
      </c>
      <c r="D9" t="str">
        <f>'Account Mastery_Reference'!D3</f>
        <v>OK</v>
      </c>
      <c r="E9">
        <f>'Account Mastery_Reference'!M3</f>
        <v>-13</v>
      </c>
      <c r="F9">
        <f t="shared" ref="F9:F19" si="1">IF(D9="FLAG",E9,IF(D9="PARTIAL",E9*0.5,0))</f>
        <v>0</v>
      </c>
      <c r="H9">
        <v>4</v>
      </c>
      <c r="I9">
        <v>-5</v>
      </c>
      <c r="J9" t="s">
        <v>44</v>
      </c>
    </row>
    <row r="10" spans="1:13" x14ac:dyDescent="0.3">
      <c r="A10" t="str">
        <f>'Account Mastery_Reference'!B4</f>
        <v>C003</v>
      </c>
      <c r="B10" t="str">
        <f>'Account Mastery_Reference'!A4</f>
        <v>Account Context Understanding</v>
      </c>
      <c r="C10" t="str">
        <f>'Account Mastery_Reference'!C4</f>
        <v>Account Challenges Documented</v>
      </c>
      <c r="D10" t="str">
        <f>'Account Mastery_Reference'!D4</f>
        <v>OK</v>
      </c>
      <c r="E10">
        <f>'Account Mastery_Reference'!M4</f>
        <v>-15</v>
      </c>
      <c r="F10">
        <f t="shared" si="1"/>
        <v>0</v>
      </c>
      <c r="H10">
        <v>3</v>
      </c>
      <c r="I10">
        <v>-3</v>
      </c>
      <c r="J10" t="s">
        <v>44</v>
      </c>
    </row>
    <row r="11" spans="1:13" x14ac:dyDescent="0.3">
      <c r="A11" t="str">
        <f>'Account Mastery_Reference'!B5</f>
        <v>C004</v>
      </c>
      <c r="B11" t="str">
        <f>'Account Mastery_Reference'!A5</f>
        <v>Account Context Understanding</v>
      </c>
      <c r="C11" t="str">
        <f>'Account Mastery_Reference'!C5</f>
        <v>Seasonality Awareness</v>
      </c>
      <c r="D11" t="str">
        <f>'Account Mastery_Reference'!D5</f>
        <v>OK</v>
      </c>
      <c r="E11">
        <f>'Account Mastery_Reference'!M5</f>
        <v>-9</v>
      </c>
      <c r="F11">
        <f t="shared" si="1"/>
        <v>0</v>
      </c>
      <c r="H11">
        <v>2</v>
      </c>
      <c r="I11">
        <v>-2</v>
      </c>
      <c r="J11" t="s">
        <v>45</v>
      </c>
    </row>
    <row r="12" spans="1:13" x14ac:dyDescent="0.3">
      <c r="A12" t="str">
        <f>'Account Mastery_Reference'!B6</f>
        <v>C005</v>
      </c>
      <c r="B12" t="str">
        <f>'Account Mastery_Reference'!A6</f>
        <v>Account Context Understanding</v>
      </c>
      <c r="C12" t="str">
        <f>'Account Mastery_Reference'!C6</f>
        <v>Operational Constraints Awareness</v>
      </c>
      <c r="D12" t="str">
        <f>'Account Mastery_Reference'!D6</f>
        <v>OK</v>
      </c>
      <c r="E12">
        <f>'Account Mastery_Reference'!M6</f>
        <v>-13</v>
      </c>
      <c r="F12">
        <f t="shared" si="1"/>
        <v>0</v>
      </c>
      <c r="H12">
        <v>1</v>
      </c>
      <c r="I12">
        <v>0</v>
      </c>
      <c r="J12" t="s">
        <v>45</v>
      </c>
    </row>
    <row r="13" spans="1:13" x14ac:dyDescent="0.3">
      <c r="A13" t="str">
        <f>'Account Mastery_Reference'!B7</f>
        <v>C006</v>
      </c>
      <c r="B13" t="str">
        <f>'Account Mastery_Reference'!A7</f>
        <v>Strategy &amp; Journey Ownership</v>
      </c>
      <c r="C13" t="str">
        <f>'Account Mastery_Reference'!C7</f>
        <v>Client Journey Map</v>
      </c>
      <c r="D13" t="str">
        <f>'Account Mastery_Reference'!D7</f>
        <v>OK</v>
      </c>
      <c r="E13">
        <f>'Account Mastery_Reference'!M7</f>
        <v>-13</v>
      </c>
      <c r="F13">
        <f t="shared" si="1"/>
        <v>0</v>
      </c>
    </row>
    <row r="14" spans="1:13" x14ac:dyDescent="0.3">
      <c r="A14" t="str">
        <f>'Account Mastery_Reference'!B8</f>
        <v>C007</v>
      </c>
      <c r="B14" t="str">
        <f>'Account Mastery_Reference'!A8</f>
        <v>Client Engagement &amp; Communication</v>
      </c>
      <c r="C14" t="str">
        <f>'Account Mastery_Reference'!C8</f>
        <v>Narrative Consistency</v>
      </c>
      <c r="D14" t="str">
        <f>'Account Mastery_Reference'!D8</f>
        <v>OK</v>
      </c>
      <c r="E14">
        <f>'Account Mastery_Reference'!M8</f>
        <v>-15</v>
      </c>
      <c r="F14">
        <f t="shared" si="1"/>
        <v>0</v>
      </c>
    </row>
    <row r="15" spans="1:13" x14ac:dyDescent="0.3">
      <c r="A15" t="str">
        <f>'Account Mastery_Reference'!B9</f>
        <v>C008</v>
      </c>
      <c r="B15" t="str">
        <f>'Account Mastery_Reference'!A9</f>
        <v>Account Context Understanding</v>
      </c>
      <c r="C15" t="str">
        <f>'Account Mastery_Reference'!C9</f>
        <v>Sales Concentration Matches Account Story</v>
      </c>
      <c r="D15" t="str">
        <f>'Account Mastery_Reference'!D9</f>
        <v>OK</v>
      </c>
      <c r="E15">
        <f>'Account Mastery_Reference'!M9</f>
        <v>-9</v>
      </c>
      <c r="F15">
        <f t="shared" si="1"/>
        <v>0</v>
      </c>
    </row>
    <row r="16" spans="1:13" x14ac:dyDescent="0.3">
      <c r="A16" t="str">
        <f>'Account Mastery_Reference'!B10</f>
        <v>C009</v>
      </c>
      <c r="B16" t="str">
        <f>'Account Mastery_Reference'!A10</f>
        <v>Client Engagement &amp; Communication</v>
      </c>
      <c r="C16" t="str">
        <f>'Account Mastery_Reference'!C10</f>
        <v>Client Contact Cadence (last 6 months)</v>
      </c>
      <c r="D16" t="str">
        <f>'Account Mastery_Reference'!D10</f>
        <v>OK</v>
      </c>
      <c r="E16">
        <f>'Account Mastery_Reference'!M10</f>
        <v>-7</v>
      </c>
      <c r="F16">
        <f t="shared" si="1"/>
        <v>0</v>
      </c>
    </row>
    <row r="17" spans="1:6" x14ac:dyDescent="0.3">
      <c r="A17" t="str">
        <f>'Account Mastery_Reference'!B11</f>
        <v>C010</v>
      </c>
      <c r="B17" t="str">
        <f>'Account Mastery_Reference'!A11</f>
        <v>Account Context Understanding</v>
      </c>
      <c r="C17" t="str">
        <f>'Account Mastery_Reference'!C11</f>
        <v>Customizations Documented &amp; Justified</v>
      </c>
      <c r="D17" t="str">
        <f>'Account Mastery_Reference'!D11</f>
        <v>OK</v>
      </c>
      <c r="E17">
        <f>'Account Mastery_Reference'!M11</f>
        <v>-15</v>
      </c>
      <c r="F17">
        <f t="shared" si="1"/>
        <v>0</v>
      </c>
    </row>
    <row r="18" spans="1:6" x14ac:dyDescent="0.3">
      <c r="A18" t="str">
        <f>'Account Mastery_Reference'!B12</f>
        <v>C011</v>
      </c>
      <c r="B18" t="str">
        <f>'Account Mastery_Reference'!A12</f>
        <v>Client Objective &amp; Success Criteria</v>
      </c>
      <c r="C18" t="str">
        <f>'Account Mastery_Reference'!C12</f>
        <v>Target Spend / KPI Targets Documented</v>
      </c>
      <c r="D18" t="str">
        <f>'Account Mastery_Reference'!D12</f>
        <v>OK</v>
      </c>
      <c r="E18">
        <f>'Account Mastery_Reference'!M12</f>
        <v>-18</v>
      </c>
      <c r="F18">
        <f t="shared" si="1"/>
        <v>0</v>
      </c>
    </row>
    <row r="19" spans="1:6" x14ac:dyDescent="0.3">
      <c r="A19" t="str">
        <f>'Account Mastery_Reference'!B13</f>
        <v>C012</v>
      </c>
      <c r="B19" t="str">
        <f>'Account Mastery_Reference'!A13</f>
        <v>Strategy &amp; Journey Ownership</v>
      </c>
      <c r="C19" t="str">
        <f>'Account Mastery_Reference'!C13</f>
        <v>Tagging / Segmentation Logic Clear</v>
      </c>
      <c r="D19" t="str">
        <f>'Account Mastery_Reference'!D13</f>
        <v>OK</v>
      </c>
      <c r="E19">
        <f>'Account Mastery_Reference'!M13</f>
        <v>-9</v>
      </c>
      <c r="F19">
        <f t="shared" si="1"/>
        <v>0</v>
      </c>
    </row>
    <row r="20" spans="1:6" x14ac:dyDescent="0.3">
      <c r="A20" t="str">
        <f>'Account Mastery_Reference'!B14</f>
        <v>C013</v>
      </c>
      <c r="B20" t="str">
        <f>'Account Mastery_Reference'!A14</f>
        <v>On Call</v>
      </c>
      <c r="C20" t="str">
        <f>'Account Mastery_Reference'!C14</f>
        <v>On-Call Interaction Quality</v>
      </c>
      <c r="D20" t="str">
        <f>'Account Mastery_Reference'!D14</f>
        <v>OK</v>
      </c>
      <c r="E20">
        <f>'Account Mastery_Reference'!M14</f>
        <v>-11</v>
      </c>
      <c r="F20">
        <f t="shared" ref="F20:F21" si="2">IF(D20="FLAG",E20,IF(D20="PARTIAL",E20*0.5,0))</f>
        <v>0</v>
      </c>
    </row>
    <row r="21" spans="1:6" x14ac:dyDescent="0.3">
      <c r="A21" t="str">
        <f>'Account Mastery_Reference'!B15</f>
        <v>C014</v>
      </c>
      <c r="B21" t="str">
        <f>'Account Mastery_Reference'!A15</f>
        <v>On Call</v>
      </c>
      <c r="C21" t="str">
        <f>'Account Mastery_Reference'!C15</f>
        <v>On-Call Explanation Quality</v>
      </c>
      <c r="D21" t="str">
        <f>'Account Mastery_Reference'!D15</f>
        <v>OK</v>
      </c>
      <c r="E21">
        <f>'Account Mastery_Reference'!M15</f>
        <v>-13</v>
      </c>
      <c r="F21">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2026-04-07T18:53:54Z</dcterms:modified>
</cp:coreProperties>
</file>